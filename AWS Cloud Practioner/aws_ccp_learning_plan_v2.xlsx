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Learning Roadmap" sheetId="2" state="visible" r:id="rId4"/>
    <sheet name="Certifications" sheetId="3" state="visible" r:id="rId5"/>
    <sheet name="Resource Library" sheetId="4" state="visible" r:id="rId6"/>
    <sheet name="Progress Tracker" sheetId="5" state="visible" r:id="rId7"/>
    <sheet name="Goals &amp; Reflection" sheetId="6" state="visible" r:id="rId8"/>
  </sheets>
  <definedNames>
    <definedName function="false" hidden="true" localSheetId="3" name="_xlnm._FilterDatabase" vbProcedure="false">'Resource Library'!$A$4:$L$22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<sst xmlns="http://schemas.openxmlformats.org/spreadsheetml/2006/main" count="361" uniqueCount="263">
  <si>
    <t xml:space="preserve">☁️  AWS Cloud Practitioner (CLF-C02) — Sprint Plan</t>
  </si>
  <si>
    <t xml:space="preserve">1-Month Prep Sprint  ·  Java Developer → Cloud Certified</t>
  </si>
  <si>
    <t xml:space="preserve">👤  LEARNER PROFILE</t>
  </si>
  <si>
    <t xml:space="preserve">Plan Mode</t>
  </si>
  <si>
    <t xml:space="preserve">Certification Prep (Mode B)</t>
  </si>
  <si>
    <t xml:space="preserve">Target Cert</t>
  </si>
  <si>
    <t xml:space="preserve">AWS Certified Cloud Practitioner (CLF-C02)</t>
  </si>
  <si>
    <t xml:space="preserve">Background</t>
  </si>
  <si>
    <t xml:space="preserve">Java Full Stack Developer</t>
  </si>
  <si>
    <t xml:space="preserve">AWS Exposure</t>
  </si>
  <si>
    <t xml:space="preserve">Complete Beginner</t>
  </si>
  <si>
    <t xml:space="preserve">Primary Goal</t>
  </si>
  <si>
    <t xml:space="preserve">Add AWS skills to current role</t>
  </si>
  <si>
    <t xml:space="preserve">Time / Week</t>
  </si>
  <si>
    <t xml:space="preserve">1–3 hours</t>
  </si>
  <si>
    <t xml:space="preserve">Timeline</t>
  </si>
  <si>
    <t xml:space="preserve">1 Month (4 Weeks) — AGGRESSIVE</t>
  </si>
  <si>
    <t xml:space="preserve">Target Exam Date</t>
  </si>
  <si>
    <t xml:space="preserve">20 May 2026</t>
  </si>
  <si>
    <t xml:space="preserve">Preferred Style</t>
  </si>
  <si>
    <t xml:space="preserve">Videos + Hands-on Labs</t>
  </si>
  <si>
    <t xml:space="preserve">📝  EXAM SNAPSHOT (CLF-C02)</t>
  </si>
  <si>
    <t xml:space="preserve">Exam Code</t>
  </si>
  <si>
    <t xml:space="preserve">CLF-C02</t>
  </si>
  <si>
    <t xml:space="preserve">Cost</t>
  </si>
  <si>
    <t xml:space="preserve">$100 USD</t>
  </si>
  <si>
    <t xml:space="preserve">Duration</t>
  </si>
  <si>
    <t xml:space="preserve">90 minutes</t>
  </si>
  <si>
    <t xml:space="preserve">Questions</t>
  </si>
  <si>
    <t xml:space="preserve">65 (50 scored + 15 unscored)</t>
  </si>
  <si>
    <t xml:space="preserve">Passing Score</t>
  </si>
  <si>
    <t xml:space="preserve">700 / 1000</t>
  </si>
  <si>
    <t xml:space="preserve">Format</t>
  </si>
  <si>
    <t xml:space="preserve">Multiple choice + Multiple response</t>
  </si>
  <si>
    <t xml:space="preserve">Validity</t>
  </si>
  <si>
    <t xml:space="preserve">3 years</t>
  </si>
  <si>
    <t xml:space="preserve">Delivery</t>
  </si>
  <si>
    <t xml:space="preserve">Pearson VUE center OR online proctored</t>
  </si>
  <si>
    <t xml:space="preserve">📊  EXAM DOMAINS &amp; WEIGHTS</t>
  </si>
  <si>
    <t xml:space="preserve">#</t>
  </si>
  <si>
    <t xml:space="preserve">Domain</t>
  </si>
  <si>
    <t xml:space="preserve">Weight</t>
  </si>
  <si>
    <t xml:space="preserve">Focus Area</t>
  </si>
  <si>
    <t xml:space="preserve">Week</t>
  </si>
  <si>
    <t xml:space="preserve">Cloud Concepts</t>
  </si>
  <si>
    <t xml:space="preserve">24%</t>
  </si>
  <si>
    <t xml:space="preserve">Cloud value, Well-Architected Framework, economics, migration</t>
  </si>
  <si>
    <t xml:space="preserve">Week 1</t>
  </si>
  <si>
    <t xml:space="preserve">Security &amp; Compliance</t>
  </si>
  <si>
    <t xml:space="preserve">30%</t>
  </si>
  <si>
    <t xml:space="preserve">Shared responsibility, IAM, encryption, AWS security services</t>
  </si>
  <si>
    <t xml:space="preserve">Week 2</t>
  </si>
  <si>
    <t xml:space="preserve">Cloud Technology &amp; Services</t>
  </si>
  <si>
    <t xml:space="preserve">34%</t>
  </si>
  <si>
    <t xml:space="preserve">Core AWS services: EC2, S3, VPC, RDS, Lambda + AI/ML services</t>
  </si>
  <si>
    <t xml:space="preserve">Week 3</t>
  </si>
  <si>
    <t xml:space="preserve">Billing, Pricing &amp; Support</t>
  </si>
  <si>
    <t xml:space="preserve">12%</t>
  </si>
  <si>
    <t xml:space="preserve">Pricing models, billing tools, support plans, cost management</t>
  </si>
  <si>
    <t xml:space="preserve">Week 4</t>
  </si>
  <si>
    <t xml:space="preserve">🗺️  4-Week CCP Sprint Roadmap</t>
  </si>
  <si>
    <t xml:space="preserve">Domain Focus</t>
  </si>
  <si>
    <t xml:space="preserve">Topics to Cover</t>
  </si>
  <si>
    <t xml:space="preserve">Key AWS Services</t>
  </si>
  <si>
    <t xml:space="preserve">Practice Milestone</t>
  </si>
  <si>
    <t xml:space="preserve">Target Confidence</t>
  </si>
  <si>
    <t xml:space="preserve">Status</t>
  </si>
  <si>
    <t xml:space="preserve">Cloud Concepts (24%)</t>
  </si>
  <si>
    <t xml:space="preserve">What is cloud computing · 6 advantages of cloud · Deployment models (public/private/hybrid) · AWS Well-Architected Framework (6 pillars) · Global Infrastructure (Regions, AZs, Edge Locations) · Migration strategies (6 R's)</t>
  </si>
  <si>
    <t xml:space="preserve">AWS Console navigation · IAM basics overview · Free Tier signup</t>
  </si>
  <si>
    <t xml:space="preserve">Complete Stephane Maarek course sections 1-5 · Score 70%+ on domain quiz</t>
  </si>
  <si>
    <t xml:space="preserve">70%</t>
  </si>
  <si>
    <t xml:space="preserve">Not Started</t>
  </si>
  <si>
    <t xml:space="preserve">Security &amp; Compliance (30%)</t>
  </si>
  <si>
    <t xml:space="preserve">Shared Responsibility Model · IAM (users, groups, roles, policies) · MFA &amp; password policies · Encryption in transit &amp; at rest · Security services (GuardDuty, Inspector, Macie, Shield, WAF) · Compliance programs · AWS Artifact</t>
  </si>
  <si>
    <t xml:space="preserve">IAM · KMS · CloudTrail · Config · GuardDuty · Shield · WAF</t>
  </si>
  <si>
    <t xml:space="preserve">Hands-on: Create IAM users/groups · Enable MFA · Take domain 2 quiz (80%+)</t>
  </si>
  <si>
    <t xml:space="preserve">80%</t>
  </si>
  <si>
    <t xml:space="preserve">Cloud Technology &amp; Services (34%)</t>
  </si>
  <si>
    <t xml:space="preserve">EC2 (instance types, pricing) · S3 (storage classes, lifecycle) · VPC (subnets, IGW, NAT) · RDS vs DynamoDB · Lambda &amp; serverless · ELB · Auto Scaling · Route 53 · CloudFront · SNS/SQS · AI/ML services (SageMaker, Rekognition, Comprehend)</t>
  </si>
  <si>
    <t xml:space="preserve">EC2 · S3 · VPC · RDS · DynamoDB · Lambda · CloudFront · Route 53</t>
  </si>
  <si>
    <t xml:space="preserve">Hands-on: Deploy EC2 + S3 static website · Score 75%+ on domain quiz</t>
  </si>
  <si>
    <t xml:space="preserve">75%</t>
  </si>
  <si>
    <t xml:space="preserve">Billing + Full Mock Exams</t>
  </si>
  <si>
    <t xml:space="preserve">AWS pricing models (On-Demand/Reserved/Spot/Savings Plans) · Billing tools (Cost Explorer, Budgets, Cost &amp; Usage Report) · Support plans (Basic/Dev/Business/Enterprise) · Trusted Advisor · TCO Calculator · Full practice exam(s) · Review weak areas · BOOK THE EXAM!</t>
  </si>
  <si>
    <t xml:space="preserve">Cost Explorer · Budgets · Trusted Advisor · Support Center</t>
  </si>
  <si>
    <t xml:space="preserve">Complete 2-3 full 65-question mock exams · Score 80%+ consistently</t>
  </si>
  <si>
    <t xml:space="preserve">85%</t>
  </si>
  <si>
    <t xml:space="preserve">🏅  Certification Roadmap — CCP and Beyond</t>
  </si>
  <si>
    <t xml:space="preserve">Cert</t>
  </si>
  <si>
    <t xml:space="preserve">Issuing Body</t>
  </si>
  <si>
    <t xml:space="preserve">Level</t>
  </si>
  <si>
    <t xml:space="preserve">Prerequisites</t>
  </si>
  <si>
    <t xml:space="preserve">Exam Format</t>
  </si>
  <si>
    <t xml:space="preserve">When to Take</t>
  </si>
  <si>
    <t xml:space="preserve">Official URL</t>
  </si>
  <si>
    <t xml:space="preserve">AWS</t>
  </si>
  <si>
    <t xml:space="preserve">Foundational</t>
  </si>
  <si>
    <t xml:space="preserve">None — beginner-friendly</t>
  </si>
  <si>
    <t xml:space="preserve">65 Qs · 90 min · 700/1000</t>
  </si>
  <si>
    <t xml:space="preserve">$100</t>
  </si>
  <si>
    <t xml:space="preserve">🎯 YOUR TARGET — Month 1</t>
  </si>
  <si>
    <t xml:space="preserve">https://aws.amazon.com/certification/certified-cloud-practitioner/</t>
  </si>
  <si>
    <t xml:space="preserve">Planned</t>
  </si>
  <si>
    <t xml:space="preserve">AWS Solutions Architect – Associate (SAA-C03)</t>
  </si>
  <si>
    <t xml:space="preserve">Associate</t>
  </si>
  <si>
    <t xml:space="preserve">CCP recommended, not required</t>
  </si>
  <si>
    <t xml:space="preserve">65 Qs · 130 min · 720/1000</t>
  </si>
  <si>
    <t xml:space="preserve">$150</t>
  </si>
  <si>
    <t xml:space="preserve">Month 4-6 after CCP</t>
  </si>
  <si>
    <t xml:space="preserve">https://aws.amazon.com/certification/certified-solutions-architect-associate/</t>
  </si>
  <si>
    <t xml:space="preserve">Not Planned</t>
  </si>
  <si>
    <t xml:space="preserve">AWS Developer – Associate (DVA-C02)</t>
  </si>
  <si>
    <t xml:space="preserve">CCP + Java/Python experience helps</t>
  </si>
  <si>
    <t xml:space="preserve">Month 4-6 after CCP (good fit for Java devs)</t>
  </si>
  <si>
    <t xml:space="preserve">https://aws.amazon.com/certification/certified-developer-associate/</t>
  </si>
  <si>
    <t xml:space="preserve">AWS Solutions Architect – Professional (SAP-C02)</t>
  </si>
  <si>
    <t xml:space="preserve">Professional</t>
  </si>
  <si>
    <t xml:space="preserve">SAA-C03 strongly recommended</t>
  </si>
  <si>
    <t xml:space="preserve">75 Qs · 180 min · 750/1000</t>
  </si>
  <si>
    <t xml:space="preserve">$300</t>
  </si>
  <si>
    <t xml:space="preserve">Year 2 — advanced career move</t>
  </si>
  <si>
    <t xml:space="preserve">https://aws.amazon.com/certification/certified-solutions-architect-professional/</t>
  </si>
  <si>
    <t xml:space="preserve">📚  Resources — AWS Cloud Practitioner (CLF-C02)</t>
  </si>
  <si>
    <t xml:space="preserve">⭐</t>
  </si>
  <si>
    <t xml:space="preserve">Resource Name</t>
  </si>
  <si>
    <t xml:space="preserve">Type</t>
  </si>
  <si>
    <t xml:space="preserve">Platform</t>
  </si>
  <si>
    <t xml:space="preserve">URL</t>
  </si>
  <si>
    <t xml:space="preserve">Est. Time</t>
  </si>
  <si>
    <t xml:space="preserve">My Rating</t>
  </si>
  <si>
    <t xml:space="preserve">Notes</t>
  </si>
  <si>
    <t xml:space="preserve">🏆 TOP COURSE</t>
  </si>
  <si>
    <t xml:space="preserve">Ultimate AWS Cloud Practitioner CLF-C02 (Stephane Maarek)</t>
  </si>
  <si>
    <t xml:space="preserve">Course</t>
  </si>
  <si>
    <t xml:space="preserve">Udemy</t>
  </si>
  <si>
    <t xml:space="preserve">Beginner</t>
  </si>
  <si>
    <t xml:space="preserve">Paid (~$12-15)</t>
  </si>
  <si>
    <t xml:space="preserve">https://www.udemy.com/course/aws-certified-cloud-practitioner-new/</t>
  </si>
  <si>
    <t xml:space="preserve">14.5 hrs</t>
  </si>
  <si>
    <t xml:space="preserve">1-4</t>
  </si>
  <si>
    <t xml:space="preserve">⭐ PRIMARY COURSE — 1.2M+ students · 4.7★ · 221K reviews</t>
  </si>
  <si>
    <t xml:space="preserve">🏆 TOP FREE</t>
  </si>
  <si>
    <t xml:space="preserve">AWS Cloud Practitioner Essentials</t>
  </si>
  <si>
    <t xml:space="preserve">AWS Skill Builder</t>
  </si>
  <si>
    <t xml:space="preserve">FREE</t>
  </si>
  <si>
    <t xml:space="preserve">https://skillbuilder.aws/</t>
  </si>
  <si>
    <t xml:space="preserve">6 hrs</t>
  </si>
  <si>
    <t xml:space="preserve">⭐ BEST FREE OPTION — Official AWS training</t>
  </si>
  <si>
    <t xml:space="preserve">AWS Cloud Practitioner Training – Neal Davis</t>
  </si>
  <si>
    <t xml:space="preserve">Paid</t>
  </si>
  <si>
    <t xml:space="preserve">https://www.udemy.com/course/aws-certified-cloud-practitioner-training-course/</t>
  </si>
  <si>
    <t xml:space="preserve">12 hrs</t>
  </si>
  <si>
    <t xml:space="preserve">Alternative to Maarek</t>
  </si>
  <si>
    <t xml:space="preserve">🏆 TOP PRACTICE</t>
  </si>
  <si>
    <t xml:space="preserve">Tutorials Dojo CLF-C02 Practice Exams (Jon Bonso)</t>
  </si>
  <si>
    <t xml:space="preserve">Practice Exam</t>
  </si>
  <si>
    <t xml:space="preserve">Tutorials Dojo</t>
  </si>
  <si>
    <t xml:space="preserve">Paid (~$15)</t>
  </si>
  <si>
    <t xml:space="preserve">https://portal.tutorialsdojo.com/courses/aws-certified-cloud-practitioner-practice-exams/</t>
  </si>
  <si>
    <t xml:space="preserve">6 mocks</t>
  </si>
  <si>
    <t xml:space="preserve">4</t>
  </si>
  <si>
    <t xml:space="preserve">⭐ GOLD STANDARD for AWS practice exams</t>
  </si>
  <si>
    <t xml:space="preserve">6 Practice Exams – Maarek &amp; Singh</t>
  </si>
  <si>
    <t xml:space="preserve">https://www.udemy.com/course/practice-exams-aws-certified-cloud-practitioner/</t>
  </si>
  <si>
    <t xml:space="preserve">Good second practice source</t>
  </si>
  <si>
    <t xml:space="preserve">🏆 TOP OFFICIAL</t>
  </si>
  <si>
    <t xml:space="preserve">Official AWS CLF-C02 Exam Guide (PDF)</t>
  </si>
  <si>
    <t xml:space="preserve">Docs</t>
  </si>
  <si>
    <t xml:space="preserve">aws.amazon.com</t>
  </si>
  <si>
    <t xml:space="preserve">All</t>
  </si>
  <si>
    <t xml:space="preserve">https://d1.awsstatic.com/training-and-certification/docs-cloud-practitioner/AWS-Certified-Cloud-Practitioner_Exam-Guide.pdf</t>
  </si>
  <si>
    <t xml:space="preserve">1 hr</t>
  </si>
  <si>
    <t xml:space="preserve">1</t>
  </si>
  <si>
    <t xml:space="preserve">⭐ MUST READ FIRST — Authoritative source</t>
  </si>
  <si>
    <t xml:space="preserve">AWS Official Sample Questions</t>
  </si>
  <si>
    <t xml:space="preserve">https://d1.awsstatic.com/training-and-certification/docs-cloud-practitioner/AWS-Certified-Cloud-Practitioner_Sample-Questions.pdf</t>
  </si>
  <si>
    <t xml:space="preserve">30 min</t>
  </si>
  <si>
    <t xml:space="preserve">3-4</t>
  </si>
  <si>
    <t xml:space="preserve">Free official samples</t>
  </si>
  <si>
    <t xml:space="preserve">AWS Free Tier Account</t>
  </si>
  <si>
    <t xml:space="preserve">Tool</t>
  </si>
  <si>
    <t xml:space="preserve">https://aws.amazon.com/free/</t>
  </si>
  <si>
    <t xml:space="preserve">Setup</t>
  </si>
  <si>
    <t xml:space="preserve">Essential for hands-on labs — do first</t>
  </si>
  <si>
    <t xml:space="preserve">FreeCodeCamp AWS Certified Cloud Practitioner Course</t>
  </si>
  <si>
    <t xml:space="preserve">Video</t>
  </si>
  <si>
    <t xml:space="preserve">YouTube</t>
  </si>
  <si>
    <t xml:space="preserve">https://www.youtube.com/watch?v=SOTamWNgDKc</t>
  </si>
  <si>
    <t xml:space="preserve">14 hrs</t>
  </si>
  <si>
    <t xml:space="preserve">Full free video alternative</t>
  </si>
  <si>
    <t xml:space="preserve">AWS Documentation – Well-Architected Framework</t>
  </si>
  <si>
    <t xml:space="preserve">https://aws.amazon.com/architecture/well-architected/</t>
  </si>
  <si>
    <t xml:space="preserve">2 hrs</t>
  </si>
  <si>
    <t xml:space="preserve">6 pillars — exam favorite topic</t>
  </si>
  <si>
    <t xml:space="preserve">AWS Shared Responsibility Model (Official Page)</t>
  </si>
  <si>
    <t xml:space="preserve">https://aws.amazon.com/compliance/shared-responsibility-model/</t>
  </si>
  <si>
    <t xml:space="preserve">2</t>
  </si>
  <si>
    <t xml:space="preserve">HIGH exam weight — memorize the chart</t>
  </si>
  <si>
    <t xml:space="preserve">AWS Global Infrastructure Map</t>
  </si>
  <si>
    <t xml:space="preserve">https://aws.amazon.com/about-aws/global-infrastructure/</t>
  </si>
  <si>
    <t xml:space="preserve">20 min</t>
  </si>
  <si>
    <t xml:space="preserve">Visualize regions &amp; AZs</t>
  </si>
  <si>
    <t xml:space="preserve">Towards The Cloud – CLF-C02 Complete Guide</t>
  </si>
  <si>
    <t xml:space="preserve">Tutorial</t>
  </si>
  <si>
    <t xml:space="preserve">towardsthecloud.com</t>
  </si>
  <si>
    <t xml:space="preserve">https://towardsthecloud.com/blog/aws-cloud-practitioner-exam-guide</t>
  </si>
  <si>
    <t xml:space="preserve">Excellent exam strategy guide</t>
  </si>
  <si>
    <t xml:space="preserve">🏆 TOP REFERENCE</t>
  </si>
  <si>
    <t xml:space="preserve">Neal Davis CCP Training Notes (Cheat Sheet)</t>
  </si>
  <si>
    <t xml:space="preserve">Book</t>
  </si>
  <si>
    <t xml:space="preserve">Digital Cloud Training</t>
  </si>
  <si>
    <t xml:space="preserve">Paid (~$10)</t>
  </si>
  <si>
    <t xml:space="preserve">https://digitalcloud.training/aws-certified-cloud-practitioner/</t>
  </si>
  <si>
    <t xml:space="preserve">3 hrs</t>
  </si>
  <si>
    <t xml:space="preserve">⭐ BEST FINAL-WEEK review material</t>
  </si>
  <si>
    <t xml:space="preserve">AWS Cloud Quest: Cloud Practitioner (Gamified)</t>
  </si>
  <si>
    <t xml:space="preserve">https://aws.amazon.com/training/learn-about/cloud-quest/</t>
  </si>
  <si>
    <t xml:space="preserve">10 hrs</t>
  </si>
  <si>
    <t xml:space="preserve">1-3</t>
  </si>
  <si>
    <t xml:space="preserve">Fun gamified hands-on practice</t>
  </si>
  <si>
    <t xml:space="preserve">ExamPro CCP Free Course</t>
  </si>
  <si>
    <t xml:space="preserve">https://www.youtube.com/c/ExamProChannel</t>
  </si>
  <si>
    <t xml:space="preserve">8 hrs</t>
  </si>
  <si>
    <t xml:space="preserve">Andrew Brown — full free video course</t>
  </si>
  <si>
    <t xml:space="preserve">AWS Pricing Calculator</t>
  </si>
  <si>
    <t xml:space="preserve">https://calculator.aws/</t>
  </si>
  <si>
    <t xml:space="preserve">Try it yourself — exam asks about it</t>
  </si>
  <si>
    <t xml:space="preserve">AWS Trusted Advisor Overview</t>
  </si>
  <si>
    <t xml:space="preserve">https://aws.amazon.com/premiumsupport/technology/trusted-advisor/</t>
  </si>
  <si>
    <t xml:space="preserve">5 categories — memorize them</t>
  </si>
  <si>
    <t xml:space="preserve">📈  Weekly Progress Tracker</t>
  </si>
  <si>
    <t xml:space="preserve">📊  Running Totals (auto-calculated)</t>
  </si>
  <si>
    <t xml:space="preserve">Total Hours Logged:</t>
  </si>
  <si>
    <t xml:space="preserve">Weeks Active:</t>
  </si>
  <si>
    <t xml:space="preserve">% Plan Complete:</t>
  </si>
  <si>
    <t xml:space="preserve">Avg Mock Score:</t>
  </si>
  <si>
    <t xml:space="preserve">Week #</t>
  </si>
  <si>
    <t xml:space="preserve">Date</t>
  </si>
  <si>
    <t xml:space="preserve">Topics Studied</t>
  </si>
  <si>
    <t xml:space="preserve">Hours Spent</t>
  </si>
  <si>
    <t xml:space="preserve">Mock Score %</t>
  </si>
  <si>
    <t xml:space="preserve">Mood</t>
  </si>
  <si>
    <t xml:space="preserve">🎯  Goals &amp; Reflection</t>
  </si>
  <si>
    <t xml:space="preserve">💡  My Why — Why am I going after CCP?</t>
  </si>
  <si>
    <t xml:space="preserve">Write your motivation here (e.g., bring cloud skills to my Java role, enable career growth, future-proof my tech stack...)</t>
  </si>
  <si>
    <t xml:space="preserve">🏃  Short-Term Goals (Month 1)</t>
  </si>
  <si>
    <t xml:space="preserve">🎯 Pass AWS Cloud Practitioner exam (score 800+)</t>
  </si>
  <si>
    <t xml:space="preserve">🎯 Complete all 4 exam domains within 4 weeks</t>
  </si>
  <si>
    <t xml:space="preserve">🎯 Score 80%+ on 2 full-length practice exams before sitting</t>
  </si>
  <si>
    <t xml:space="preserve">🚀  Long-Term Goals (6-12 months)</t>
  </si>
  <si>
    <t xml:space="preserve">🌟 Pursue AWS Solutions Architect Associate (SAA-C03) or Developer Associate (DVA-C02)</t>
  </si>
  <si>
    <t xml:space="preserve">🌟 Deploy a Java/Spring Boot app on AWS (EC2 + RDS + S3) to build hands-on portfolio</t>
  </si>
  <si>
    <t xml:space="preserve">🌟 Position for internal cloud projects or cloud-focused Java dev roles</t>
  </si>
  <si>
    <t xml:space="preserve">📝  Weekly Reflection Prompts</t>
  </si>
  <si>
    <t xml:space="preserve">🗓️ Week 1 (Cloud Concepts)</t>
  </si>
  <si>
    <t xml:space="preserve">What surprised me about AWS? Which Well-Architected pillar feels most intuitive?</t>
  </si>
  <si>
    <t xml:space="preserve">🗓️ Week 2 (Security &amp; Compliance)</t>
  </si>
  <si>
    <t xml:space="preserve">How well do I understand the shared responsibility model? Where is IAM tripping me up?</t>
  </si>
  <si>
    <t xml:space="preserve">🗓️ Week 3 (Services)</t>
  </si>
  <si>
    <t xml:space="preserve">Which services feel easy vs. which need more review? Am I confusing any?</t>
  </si>
  <si>
    <t xml:space="preserve">🗓️ Week 4 (Billing + Mocks)</t>
  </si>
  <si>
    <t xml:space="preserve">What are my mock exam scores? Which domains need last-minute review?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</si>
</sst>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1"/>
      <color rgb="FFFF990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F9900"/>
        <bgColor rgb="FFFFCC00"/>
      </patternFill>
    </fill>
    <fill>
      <patternFill patternType="solid">
        <fgColor rgb="FF146EB4"/>
        <bgColor rgb="FF1155CC"/>
      </patternFill>
    </fill>
    <fill>
      <patternFill patternType="solid">
        <fgColor rgb="FFF2F3F3"/>
        <bgColor rgb="FFE8F5D6"/>
      </patternFill>
    </fill>
    <fill>
      <patternFill patternType="solid">
        <fgColor rgb="FFDAEEF9"/>
        <bgColor rgb="FFF2F3F3"/>
      </patternFill>
    </fill>
    <fill>
      <patternFill patternType="solid">
        <fgColor rgb="FFFBDCD6"/>
        <bgColor rgb="FFFFE8CC"/>
      </patternFill>
    </fill>
    <fill>
      <patternFill patternType="solid">
        <fgColor rgb="FFFFE8CC"/>
        <bgColor rgb="FFFFF3CD"/>
      </patternFill>
    </fill>
    <fill>
      <patternFill patternType="solid">
        <fgColor rgb="FFE8F5D6"/>
        <bgColor rgb="FFF2F3F3"/>
      </patternFill>
    </fill>
    <fill>
      <patternFill patternType="solid">
        <fgColor rgb="FFFFFFFF"/>
        <bgColor rgb="FFFFFDE7"/>
      </patternFill>
    </fill>
    <fill>
      <patternFill patternType="solid">
        <fgColor rgb="FFFFF3CD"/>
        <bgColor rgb="FFFFE8CC"/>
      </patternFill>
    </fill>
    <fill>
      <patternFill patternType="solid">
        <fgColor rgb="FFFFECB3"/>
        <bgColor rgb="FFFFE8CC"/>
      </patternFill>
    </fill>
    <fill>
      <patternFill patternType="solid">
        <fgColor rgb="FFFFFDE7"/>
        <bgColor rgb="FFFFFFFF"/>
      </patternFill>
    </fill>
    <fill>
      <patternFill patternType="solid">
        <fgColor rgb="FF7AA116"/>
        <bgColor rgb="FF99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 diagonalUp="false" diagonalDown="false">
      <left style="thin">
        <color rgb="FFD5DBDB"/>
      </left>
      <right/>
      <top style="thin">
        <color rgb="FFD5DBDB"/>
      </top>
      <bottom style="thin">
        <color rgb="FFD5DBDB"/>
      </bottom>
      <diagonal/>
    </border>
    <border diagonalUp="false" diagonalDown="false">
      <left style="thin">
        <color rgb="FFD5DBDB"/>
      </left>
      <right/>
      <top style="thin">
        <color rgb="FFD5DB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E8F5D6"/>
        </patternFill>
      </fill>
    </dxf>
    <dxf>
      <fill>
        <patternFill>
          <bgColor rgb="FFFFF3CD"/>
        </patternFill>
      </fill>
    </dxf>
    <dxf>
      <fill>
        <patternFill>
          <bgColor rgb="FFDAEEF9"/>
        </patternFill>
      </fill>
    </dxf>
    <dxf>
      <fill>
        <patternFill patternType="solid">
          <fgColor rgb="FF146EB4"/>
          <bgColor rgb="FF000000"/>
        </patternFill>
      </fill>
    </dxf>
    <dxf>
      <fill>
        <patternFill patternType="solid">
          <fgColor rgb="FFDAEEF9"/>
          <bgColor rgb="FF000000"/>
        </patternFill>
      </fill>
    </dxf>
    <dxf>
      <fill>
        <patternFill patternType="solid">
          <fgColor rgb="FFE8F5D6"/>
          <bgColor rgb="FF000000"/>
        </patternFill>
      </fill>
    </dxf>
    <dxf>
      <fill>
        <patternFill patternType="solid">
          <fgColor rgb="FFFBDCD6"/>
          <bgColor rgb="FF000000"/>
        </patternFill>
      </fill>
    </dxf>
    <dxf>
      <fill>
        <patternFill patternType="solid">
          <fgColor rgb="FFFFE8CC"/>
          <bgColor rgb="FF000000"/>
        </patternFill>
      </fill>
    </dxf>
    <dxf>
      <fill>
        <patternFill patternType="solid">
          <fgColor rgb="FFFFECB3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A116"/>
      <rgbColor rgb="FF800080"/>
      <rgbColor rgb="FF008080"/>
      <rgbColor rgb="FFFFE8CC"/>
      <rgbColor rgb="FF808080"/>
      <rgbColor rgb="FF9999FF"/>
      <rgbColor rgb="FF993366"/>
      <rgbColor rgb="FFFFFDE7"/>
      <rgbColor rgb="FFDAEEF9"/>
      <rgbColor rgb="FF660066"/>
      <rgbColor rgb="FFFF8080"/>
      <rgbColor rgb="FF146EB4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3"/>
      <rgbColor rgb="FFE8F5D6"/>
      <rgbColor rgb="FFFFECB3"/>
      <rgbColor rgb="FFFFF3CD"/>
      <rgbColor rgb="FFFF99CC"/>
      <rgbColor rgb="FFCC99FF"/>
      <rgbColor rgb="FFFBDCD6"/>
      <rgbColor rgb="FF1155CC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B45309"/>
      <rgbColor rgb="FF993366"/>
      <rgbColor rgb="FF333399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7.5" hidden="false" customHeight="true" outlineLevel="0" collapsed="false"/>
    <row r="5" customFormat="false" ht="19.5" hidden="false" customHeight="true" outlineLevel="0" collapsed="false">
      <c r="A5" s="3" t="s">
        <v>2</v>
      </c>
      <c r="B5" s="3"/>
      <c r="C5" s="3"/>
      <c r="D5" s="3"/>
      <c r="E5" s="3"/>
      <c r="F5" s="3"/>
    </row>
    <row r="6" customFormat="false" ht="18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</row>
    <row r="7" customFormat="false" ht="18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</row>
    <row r="8" customFormat="false" ht="18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</row>
    <row r="9" customFormat="false" ht="18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</row>
    <row r="10" customFormat="false" ht="18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</row>
    <row r="11" customFormat="false" ht="18" hidden="false" customHeight="true" outlineLevel="0" collapsed="false">
      <c r="A11" s="4" t="s">
        <v>13</v>
      </c>
      <c r="B11" s="5" t="s">
        <v>14</v>
      </c>
      <c r="C11" s="5"/>
      <c r="D11" s="5"/>
      <c r="E11" s="5"/>
      <c r="F11" s="5"/>
    </row>
    <row r="12" customFormat="false" ht="18" hidden="false" customHeight="true" outlineLevel="0" collapsed="false">
      <c r="A12" s="4" t="s">
        <v>15</v>
      </c>
      <c r="B12" s="5" t="s">
        <v>16</v>
      </c>
      <c r="C12" s="5"/>
      <c r="D12" s="5"/>
      <c r="E12" s="5"/>
      <c r="F12" s="5"/>
    </row>
    <row r="13" customFormat="false" ht="18" hidden="false" customHeight="true" outlineLevel="0" collapsed="false">
      <c r="A13" s="4" t="s">
        <v>17</v>
      </c>
      <c r="B13" s="5" t="s">
        <v>18</v>
      </c>
      <c r="C13" s="5"/>
      <c r="D13" s="5"/>
      <c r="E13" s="5"/>
      <c r="F13" s="5"/>
    </row>
    <row r="14" customFormat="false" ht="18" hidden="false" customHeight="true" outlineLevel="0" collapsed="false">
      <c r="A14" s="4" t="s">
        <v>19</v>
      </c>
      <c r="B14" s="5" t="s">
        <v>20</v>
      </c>
      <c r="C14" s="5"/>
      <c r="D14" s="5"/>
      <c r="E14" s="5"/>
      <c r="F14" s="5"/>
    </row>
    <row r="15" customFormat="false" ht="7.5" hidden="false" customHeight="true" outlineLevel="0" collapsed="false"/>
    <row r="16" customFormat="false" ht="19.5" hidden="false" customHeight="true" outlineLevel="0" collapsed="false">
      <c r="A16" s="6" t="s">
        <v>21</v>
      </c>
      <c r="B16" s="6"/>
      <c r="C16" s="6"/>
      <c r="D16" s="6"/>
      <c r="E16" s="6"/>
      <c r="F16" s="6"/>
    </row>
    <row r="17" customFormat="false" ht="18" hidden="false" customHeight="true" outlineLevel="0" collapsed="false">
      <c r="A17" s="4" t="s">
        <v>22</v>
      </c>
      <c r="B17" s="5" t="s">
        <v>23</v>
      </c>
      <c r="C17" s="5"/>
      <c r="D17" s="5"/>
      <c r="E17" s="5"/>
      <c r="F17" s="5"/>
    </row>
    <row r="18" customFormat="false" ht="18" hidden="false" customHeight="true" outlineLevel="0" collapsed="false">
      <c r="A18" s="4" t="s">
        <v>24</v>
      </c>
      <c r="B18" s="5" t="s">
        <v>25</v>
      </c>
      <c r="C18" s="5"/>
      <c r="D18" s="5"/>
      <c r="E18" s="5"/>
      <c r="F18" s="5"/>
    </row>
    <row r="19" customFormat="false" ht="18" hidden="false" customHeight="true" outlineLevel="0" collapsed="false">
      <c r="A19" s="4" t="s">
        <v>26</v>
      </c>
      <c r="B19" s="5" t="s">
        <v>27</v>
      </c>
      <c r="C19" s="5"/>
      <c r="D19" s="5"/>
      <c r="E19" s="5"/>
      <c r="F19" s="5"/>
    </row>
    <row r="20" customFormat="false" ht="18" hidden="false" customHeight="true" outlineLevel="0" collapsed="false">
      <c r="A20" s="4" t="s">
        <v>28</v>
      </c>
      <c r="B20" s="5" t="s">
        <v>29</v>
      </c>
      <c r="C20" s="5"/>
      <c r="D20" s="5"/>
      <c r="E20" s="5"/>
      <c r="F20" s="5"/>
    </row>
    <row r="21" customFormat="false" ht="18" hidden="false" customHeight="true" outlineLevel="0" collapsed="false">
      <c r="A21" s="4" t="s">
        <v>30</v>
      </c>
      <c r="B21" s="5" t="s">
        <v>31</v>
      </c>
      <c r="C21" s="5"/>
      <c r="D21" s="5"/>
      <c r="E21" s="5"/>
      <c r="F21" s="5"/>
    </row>
    <row r="22" customFormat="false" ht="18" hidden="false" customHeight="true" outlineLevel="0" collapsed="false">
      <c r="A22" s="4" t="s">
        <v>32</v>
      </c>
      <c r="B22" s="5" t="s">
        <v>33</v>
      </c>
      <c r="C22" s="5"/>
      <c r="D22" s="5"/>
      <c r="E22" s="5"/>
      <c r="F22" s="5"/>
    </row>
    <row r="23" customFormat="false" ht="18" hidden="false" customHeight="true" outlineLevel="0" collapsed="false">
      <c r="A23" s="4" t="s">
        <v>34</v>
      </c>
      <c r="B23" s="5" t="s">
        <v>35</v>
      </c>
      <c r="C23" s="5"/>
      <c r="D23" s="5"/>
      <c r="E23" s="5"/>
      <c r="F23" s="5"/>
    </row>
    <row r="24" customFormat="false" ht="18" hidden="false" customHeight="true" outlineLevel="0" collapsed="false">
      <c r="A24" s="4" t="s">
        <v>36</v>
      </c>
      <c r="B24" s="5" t="s">
        <v>37</v>
      </c>
      <c r="C24" s="5"/>
      <c r="D24" s="5"/>
      <c r="E24" s="5"/>
      <c r="F24" s="5"/>
    </row>
    <row r="25" customFormat="false" ht="7.5" hidden="false" customHeight="true" outlineLevel="0" collapsed="false"/>
    <row r="26" customFormat="false" ht="19.5" hidden="false" customHeight="true" outlineLevel="0" collapsed="false">
      <c r="A26" s="3" t="s">
        <v>38</v>
      </c>
      <c r="B26" s="3"/>
      <c r="C26" s="3"/>
      <c r="D26" s="3"/>
      <c r="E26" s="3"/>
      <c r="F26" s="3"/>
    </row>
    <row r="27" customFormat="false" ht="19.5" hidden="false" customHeight="true" outlineLevel="0" collapsed="false">
      <c r="A27" s="7" t="s">
        <v>39</v>
      </c>
      <c r="B27" s="7" t="s">
        <v>40</v>
      </c>
      <c r="C27" s="7" t="s">
        <v>41</v>
      </c>
      <c r="D27" s="7" t="s">
        <v>42</v>
      </c>
      <c r="E27" s="7" t="s">
        <v>43</v>
      </c>
      <c r="F27" s="7"/>
    </row>
    <row r="28" customFormat="false" ht="30" hidden="false" customHeight="true" outlineLevel="0" collapsed="false">
      <c r="A28" s="8" t="n">
        <v>1</v>
      </c>
      <c r="B28" s="9" t="s">
        <v>44</v>
      </c>
      <c r="C28" s="8" t="s">
        <v>45</v>
      </c>
      <c r="D28" s="9" t="s">
        <v>46</v>
      </c>
      <c r="E28" s="8" t="s">
        <v>47</v>
      </c>
      <c r="F28" s="8"/>
    </row>
    <row r="29" customFormat="false" ht="30" hidden="false" customHeight="true" outlineLevel="0" collapsed="false">
      <c r="A29" s="10" t="n">
        <v>2</v>
      </c>
      <c r="B29" s="11" t="s">
        <v>48</v>
      </c>
      <c r="C29" s="10" t="s">
        <v>49</v>
      </c>
      <c r="D29" s="11" t="s">
        <v>50</v>
      </c>
      <c r="E29" s="10" t="s">
        <v>51</v>
      </c>
      <c r="F29" s="10"/>
    </row>
    <row r="30" customFormat="false" ht="30" hidden="false" customHeight="true" outlineLevel="0" collapsed="false">
      <c r="A30" s="12" t="n">
        <v>3</v>
      </c>
      <c r="B30" s="13" t="s">
        <v>52</v>
      </c>
      <c r="C30" s="12" t="s">
        <v>53</v>
      </c>
      <c r="D30" s="13" t="s">
        <v>54</v>
      </c>
      <c r="E30" s="12" t="s">
        <v>55</v>
      </c>
      <c r="F30" s="12"/>
    </row>
    <row r="31" customFormat="false" ht="30" hidden="false" customHeight="true" outlineLevel="0" collapsed="false">
      <c r="A31" s="14" t="n">
        <v>4</v>
      </c>
      <c r="B31" s="15" t="s">
        <v>56</v>
      </c>
      <c r="C31" s="14" t="s">
        <v>57</v>
      </c>
      <c r="D31" s="15" t="s">
        <v>58</v>
      </c>
      <c r="E31" s="14" t="s">
        <v>59</v>
      </c>
      <c r="F31" s="14"/>
    </row>
  </sheetData>
  <mergeCells count="22">
    <mergeCell ref="A1:F2"/>
    <mergeCell ref="A3:F3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B22:F22"/>
    <mergeCell ref="B23:F23"/>
    <mergeCell ref="B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5" min="4" style="0" width="32"/>
    <col collapsed="false" customWidth="true" hidden="false" outlineLevel="0" max="7" min="6" style="0" width="14"/>
  </cols>
  <sheetData>
    <row r="1" customFormat="false" ht="21.75" hidden="false" customHeight="true" outlineLevel="0" collapsed="false">
      <c r="A1" s="16" t="s">
        <v>60</v>
      </c>
      <c r="B1" s="16"/>
      <c r="C1" s="16"/>
      <c r="D1" s="16"/>
      <c r="E1" s="16"/>
      <c r="F1" s="16"/>
      <c r="G1" s="16"/>
    </row>
    <row r="2" customFormat="false" ht="21.75" hidden="false" customHeight="true" outlineLevel="0" collapsed="false">
      <c r="A2" s="16"/>
      <c r="B2" s="16"/>
      <c r="C2" s="16"/>
      <c r="D2" s="16"/>
      <c r="E2" s="16"/>
      <c r="F2" s="16"/>
      <c r="G2" s="16"/>
    </row>
    <row r="3" customFormat="false" ht="7.5" hidden="false" customHeight="true" outlineLevel="0" collapsed="false"/>
    <row r="4" customFormat="false" ht="21.75" hidden="false" customHeight="true" outlineLevel="0" collapsed="false">
      <c r="A4" s="17" t="s">
        <v>43</v>
      </c>
      <c r="B4" s="17" t="s">
        <v>61</v>
      </c>
      <c r="C4" s="17" t="s">
        <v>62</v>
      </c>
      <c r="D4" s="17" t="s">
        <v>63</v>
      </c>
      <c r="E4" s="17" t="s">
        <v>64</v>
      </c>
      <c r="F4" s="17" t="s">
        <v>65</v>
      </c>
      <c r="G4" s="17" t="s">
        <v>66</v>
      </c>
    </row>
    <row r="5" customFormat="false" ht="90" hidden="false" customHeight="true" outlineLevel="0" collapsed="false">
      <c r="A5" s="18" t="s">
        <v>47</v>
      </c>
      <c r="B5" s="18" t="s">
        <v>67</v>
      </c>
      <c r="C5" s="18" t="s">
        <v>68</v>
      </c>
      <c r="D5" s="18" t="s">
        <v>69</v>
      </c>
      <c r="E5" s="18" t="s">
        <v>70</v>
      </c>
      <c r="F5" s="18" t="s">
        <v>71</v>
      </c>
      <c r="G5" s="18" t="s">
        <v>72</v>
      </c>
    </row>
    <row r="6" customFormat="false" ht="90" hidden="false" customHeight="true" outlineLevel="0" collapsed="false">
      <c r="A6" s="19" t="s">
        <v>51</v>
      </c>
      <c r="B6" s="19" t="s">
        <v>73</v>
      </c>
      <c r="C6" s="19" t="s">
        <v>74</v>
      </c>
      <c r="D6" s="19" t="s">
        <v>75</v>
      </c>
      <c r="E6" s="19" t="s">
        <v>76</v>
      </c>
      <c r="F6" s="19" t="s">
        <v>77</v>
      </c>
      <c r="G6" s="19" t="s">
        <v>72</v>
      </c>
    </row>
    <row r="7" customFormat="false" ht="90" hidden="false" customHeight="true" outlineLevel="0" collapsed="false">
      <c r="A7" s="18" t="s">
        <v>55</v>
      </c>
      <c r="B7" s="18" t="s">
        <v>78</v>
      </c>
      <c r="C7" s="18" t="s">
        <v>79</v>
      </c>
      <c r="D7" s="18" t="s">
        <v>80</v>
      </c>
      <c r="E7" s="18" t="s">
        <v>81</v>
      </c>
      <c r="F7" s="18" t="s">
        <v>82</v>
      </c>
      <c r="G7" s="18" t="s">
        <v>72</v>
      </c>
    </row>
    <row r="8" customFormat="false" ht="90" hidden="false" customHeight="true" outlineLevel="0" collapsed="false">
      <c r="A8" s="19" t="s">
        <v>59</v>
      </c>
      <c r="B8" s="19" t="s">
        <v>83</v>
      </c>
      <c r="C8" s="19" t="s">
        <v>84</v>
      </c>
      <c r="D8" s="19" t="s">
        <v>85</v>
      </c>
      <c r="E8" s="19" t="s">
        <v>86</v>
      </c>
      <c r="F8" s="19" t="s">
        <v>87</v>
      </c>
      <c r="G8" s="19" t="s">
        <v>72</v>
      </c>
    </row>
  </sheetData>
  <mergeCells count="1">
    <mergeCell ref="A1:G2"/>
  </mergeCells>
  <conditionalFormatting sqref="G5:G8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G5:G8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24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6" t="s">
        <v>88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21.75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</row>
    <row r="3" customFormat="false" ht="7.5" hidden="false" customHeight="true" outlineLevel="0" collapsed="false"/>
    <row r="4" customFormat="false" ht="21.75" hidden="false" customHeight="true" outlineLevel="0" collapsed="false">
      <c r="A4" s="20" t="s">
        <v>89</v>
      </c>
      <c r="B4" s="20" t="s">
        <v>90</v>
      </c>
      <c r="C4" s="20" t="s">
        <v>91</v>
      </c>
      <c r="D4" s="20" t="s">
        <v>92</v>
      </c>
      <c r="E4" s="20" t="s">
        <v>93</v>
      </c>
      <c r="F4" s="20" t="s">
        <v>24</v>
      </c>
      <c r="G4" s="20" t="s">
        <v>34</v>
      </c>
      <c r="H4" s="20" t="s">
        <v>94</v>
      </c>
      <c r="I4" s="20" t="s">
        <v>95</v>
      </c>
      <c r="J4" s="20" t="s">
        <v>66</v>
      </c>
    </row>
    <row r="5" customFormat="false" ht="34.5" hidden="false" customHeight="true" outlineLevel="0" collapsed="false">
      <c r="A5" s="21" t="s">
        <v>6</v>
      </c>
      <c r="B5" s="22" t="s">
        <v>96</v>
      </c>
      <c r="C5" s="22" t="s">
        <v>97</v>
      </c>
      <c r="D5" s="22" t="s">
        <v>98</v>
      </c>
      <c r="E5" s="22" t="s">
        <v>99</v>
      </c>
      <c r="F5" s="22" t="s">
        <v>100</v>
      </c>
      <c r="G5" s="22" t="s">
        <v>35</v>
      </c>
      <c r="H5" s="22" t="s">
        <v>101</v>
      </c>
      <c r="I5" s="23" t="s">
        <v>102</v>
      </c>
      <c r="J5" s="22" t="s">
        <v>103</v>
      </c>
    </row>
    <row r="6" customFormat="false" ht="34.5" hidden="false" customHeight="true" outlineLevel="0" collapsed="false">
      <c r="A6" s="19" t="s">
        <v>104</v>
      </c>
      <c r="B6" s="19" t="s">
        <v>96</v>
      </c>
      <c r="C6" s="19" t="s">
        <v>105</v>
      </c>
      <c r="D6" s="19" t="s">
        <v>106</v>
      </c>
      <c r="E6" s="19" t="s">
        <v>107</v>
      </c>
      <c r="F6" s="19" t="s">
        <v>108</v>
      </c>
      <c r="G6" s="19" t="s">
        <v>35</v>
      </c>
      <c r="H6" s="19" t="s">
        <v>109</v>
      </c>
      <c r="I6" s="24" t="s">
        <v>110</v>
      </c>
      <c r="J6" s="19" t="s">
        <v>111</v>
      </c>
    </row>
    <row r="7" customFormat="false" ht="34.5" hidden="false" customHeight="true" outlineLevel="0" collapsed="false">
      <c r="A7" s="18" t="s">
        <v>112</v>
      </c>
      <c r="B7" s="18" t="s">
        <v>96</v>
      </c>
      <c r="C7" s="18" t="s">
        <v>105</v>
      </c>
      <c r="D7" s="18" t="s">
        <v>113</v>
      </c>
      <c r="E7" s="18" t="s">
        <v>107</v>
      </c>
      <c r="F7" s="18" t="s">
        <v>108</v>
      </c>
      <c r="G7" s="18" t="s">
        <v>35</v>
      </c>
      <c r="H7" s="18" t="s">
        <v>114</v>
      </c>
      <c r="I7" s="25" t="s">
        <v>115</v>
      </c>
      <c r="J7" s="18" t="s">
        <v>111</v>
      </c>
    </row>
    <row r="8" customFormat="false" ht="34.5" hidden="false" customHeight="true" outlineLevel="0" collapsed="false">
      <c r="A8" s="19" t="s">
        <v>116</v>
      </c>
      <c r="B8" s="19" t="s">
        <v>96</v>
      </c>
      <c r="C8" s="19" t="s">
        <v>117</v>
      </c>
      <c r="D8" s="19" t="s">
        <v>118</v>
      </c>
      <c r="E8" s="19" t="s">
        <v>119</v>
      </c>
      <c r="F8" s="19" t="s">
        <v>120</v>
      </c>
      <c r="G8" s="19" t="s">
        <v>35</v>
      </c>
      <c r="H8" s="19" t="s">
        <v>121</v>
      </c>
      <c r="I8" s="24" t="s">
        <v>122</v>
      </c>
      <c r="J8" s="19" t="s">
        <v>111</v>
      </c>
    </row>
  </sheetData>
  <mergeCells count="1">
    <mergeCell ref="A1:J2"/>
  </mergeCells>
  <conditionalFormatting sqref="J5:J8">
    <cfRule type="cellIs" priority="2" operator="equal" aboveAverage="0" equalAverage="0" bottom="0" percent="0" rank="0" text="" dxfId="0">
      <formula>"Passed"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"Planned"</formula>
    </cfRule>
  </conditionalFormatting>
  <dataValidations count="1">
    <dataValidation allowBlank="false" errorStyle="stop" operator="between" showDropDown="false" showErrorMessage="false" showInputMessage="false" sqref="J5:J8" type="list">
      <formula1>"Not Planned,Planned,In Progress,Passed"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21.75" hidden="false" customHeight="true" outlineLevel="0" collapsed="false">
      <c r="A1" s="26" t="s">
        <v>123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21.75" hidden="false" customHeight="true" outlineLevel="0" collapsed="false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customFormat="false" ht="7.5" hidden="false" customHeight="true" outlineLevel="0" collapsed="false"/>
    <row r="4" customFormat="false" ht="21.75" hidden="false" customHeight="true" outlineLevel="0" collapsed="false">
      <c r="A4" s="17" t="s">
        <v>39</v>
      </c>
      <c r="B4" s="17" t="s">
        <v>124</v>
      </c>
      <c r="C4" s="17" t="s">
        <v>125</v>
      </c>
      <c r="D4" s="17" t="s">
        <v>126</v>
      </c>
      <c r="E4" s="17" t="s">
        <v>127</v>
      </c>
      <c r="F4" s="17" t="s">
        <v>91</v>
      </c>
      <c r="G4" s="17" t="s">
        <v>24</v>
      </c>
      <c r="H4" s="17" t="s">
        <v>128</v>
      </c>
      <c r="I4" s="17" t="s">
        <v>129</v>
      </c>
      <c r="J4" s="17" t="s">
        <v>43</v>
      </c>
      <c r="K4" s="17" t="s">
        <v>130</v>
      </c>
      <c r="L4" s="17" t="s">
        <v>131</v>
      </c>
    </row>
    <row r="5" customFormat="false" ht="30" hidden="false" customHeight="true" outlineLevel="0" collapsed="false">
      <c r="A5" s="27" t="n">
        <v>1</v>
      </c>
      <c r="B5" s="28" t="s">
        <v>132</v>
      </c>
      <c r="C5" s="29" t="s">
        <v>133</v>
      </c>
      <c r="D5" s="27" t="s">
        <v>134</v>
      </c>
      <c r="E5" s="27" t="s">
        <v>135</v>
      </c>
      <c r="F5" s="27" t="s">
        <v>136</v>
      </c>
      <c r="G5" s="27" t="s">
        <v>137</v>
      </c>
      <c r="H5" s="30" t="s">
        <v>138</v>
      </c>
      <c r="I5" s="27" t="s">
        <v>139</v>
      </c>
      <c r="J5" s="27" t="s">
        <v>140</v>
      </c>
      <c r="K5" s="27"/>
      <c r="L5" s="27" t="s">
        <v>141</v>
      </c>
    </row>
    <row r="6" customFormat="false" ht="30" hidden="false" customHeight="true" outlineLevel="0" collapsed="false">
      <c r="A6" s="27" t="n">
        <v>2</v>
      </c>
      <c r="B6" s="28" t="s">
        <v>142</v>
      </c>
      <c r="C6" s="29" t="s">
        <v>143</v>
      </c>
      <c r="D6" s="27" t="s">
        <v>134</v>
      </c>
      <c r="E6" s="27" t="s">
        <v>144</v>
      </c>
      <c r="F6" s="27" t="s">
        <v>136</v>
      </c>
      <c r="G6" s="27" t="s">
        <v>145</v>
      </c>
      <c r="H6" s="30" t="s">
        <v>146</v>
      </c>
      <c r="I6" s="27" t="s">
        <v>147</v>
      </c>
      <c r="J6" s="27" t="s">
        <v>140</v>
      </c>
      <c r="K6" s="27"/>
      <c r="L6" s="27" t="s">
        <v>148</v>
      </c>
    </row>
    <row r="7" customFormat="false" ht="25.5" hidden="false" customHeight="true" outlineLevel="0" collapsed="false">
      <c r="A7" s="31" t="n">
        <v>3</v>
      </c>
      <c r="B7" s="31"/>
      <c r="C7" s="31" t="s">
        <v>149</v>
      </c>
      <c r="D7" s="31" t="s">
        <v>134</v>
      </c>
      <c r="E7" s="31" t="s">
        <v>135</v>
      </c>
      <c r="F7" s="31" t="s">
        <v>136</v>
      </c>
      <c r="G7" s="31" t="s">
        <v>150</v>
      </c>
      <c r="H7" s="32" t="s">
        <v>151</v>
      </c>
      <c r="I7" s="31" t="s">
        <v>152</v>
      </c>
      <c r="J7" s="31" t="s">
        <v>140</v>
      </c>
      <c r="K7" s="31"/>
      <c r="L7" s="31" t="s">
        <v>153</v>
      </c>
    </row>
    <row r="8" customFormat="false" ht="30" hidden="false" customHeight="true" outlineLevel="0" collapsed="false">
      <c r="A8" s="27" t="n">
        <v>4</v>
      </c>
      <c r="B8" s="28" t="s">
        <v>154</v>
      </c>
      <c r="C8" s="29" t="s">
        <v>155</v>
      </c>
      <c r="D8" s="27" t="s">
        <v>156</v>
      </c>
      <c r="E8" s="27" t="s">
        <v>157</v>
      </c>
      <c r="F8" s="27" t="s">
        <v>136</v>
      </c>
      <c r="G8" s="27" t="s">
        <v>158</v>
      </c>
      <c r="H8" s="30" t="s">
        <v>159</v>
      </c>
      <c r="I8" s="27" t="s">
        <v>160</v>
      </c>
      <c r="J8" s="27" t="s">
        <v>161</v>
      </c>
      <c r="K8" s="27"/>
      <c r="L8" s="27" t="s">
        <v>162</v>
      </c>
    </row>
    <row r="9" customFormat="false" ht="25.5" hidden="false" customHeight="true" outlineLevel="0" collapsed="false">
      <c r="A9" s="33" t="n">
        <v>5</v>
      </c>
      <c r="B9" s="33"/>
      <c r="C9" s="33" t="s">
        <v>163</v>
      </c>
      <c r="D9" s="33" t="s">
        <v>156</v>
      </c>
      <c r="E9" s="33" t="s">
        <v>135</v>
      </c>
      <c r="F9" s="33" t="s">
        <v>136</v>
      </c>
      <c r="G9" s="33" t="s">
        <v>150</v>
      </c>
      <c r="H9" s="34" t="s">
        <v>164</v>
      </c>
      <c r="I9" s="33" t="s">
        <v>160</v>
      </c>
      <c r="J9" s="33" t="s">
        <v>161</v>
      </c>
      <c r="K9" s="33"/>
      <c r="L9" s="33" t="s">
        <v>165</v>
      </c>
    </row>
    <row r="10" customFormat="false" ht="30" hidden="false" customHeight="true" outlineLevel="0" collapsed="false">
      <c r="A10" s="27" t="n">
        <v>6</v>
      </c>
      <c r="B10" s="28" t="s">
        <v>166</v>
      </c>
      <c r="C10" s="29" t="s">
        <v>167</v>
      </c>
      <c r="D10" s="27" t="s">
        <v>168</v>
      </c>
      <c r="E10" s="27" t="s">
        <v>169</v>
      </c>
      <c r="F10" s="27" t="s">
        <v>170</v>
      </c>
      <c r="G10" s="27" t="s">
        <v>145</v>
      </c>
      <c r="H10" s="30" t="s">
        <v>171</v>
      </c>
      <c r="I10" s="27" t="s">
        <v>172</v>
      </c>
      <c r="J10" s="27" t="s">
        <v>173</v>
      </c>
      <c r="K10" s="27"/>
      <c r="L10" s="27" t="s">
        <v>174</v>
      </c>
    </row>
    <row r="11" customFormat="false" ht="25.5" hidden="false" customHeight="true" outlineLevel="0" collapsed="false">
      <c r="A11" s="33" t="n">
        <v>7</v>
      </c>
      <c r="B11" s="33"/>
      <c r="C11" s="33" t="s">
        <v>175</v>
      </c>
      <c r="D11" s="33" t="s">
        <v>156</v>
      </c>
      <c r="E11" s="33" t="s">
        <v>169</v>
      </c>
      <c r="F11" s="33" t="s">
        <v>136</v>
      </c>
      <c r="G11" s="33" t="s">
        <v>145</v>
      </c>
      <c r="H11" s="34" t="s">
        <v>176</v>
      </c>
      <c r="I11" s="33" t="s">
        <v>177</v>
      </c>
      <c r="J11" s="33" t="s">
        <v>178</v>
      </c>
      <c r="K11" s="33"/>
      <c r="L11" s="33" t="s">
        <v>179</v>
      </c>
    </row>
    <row r="12" customFormat="false" ht="25.5" hidden="false" customHeight="true" outlineLevel="0" collapsed="false">
      <c r="A12" s="35" t="n">
        <v>8</v>
      </c>
      <c r="B12" s="35"/>
      <c r="C12" s="35" t="s">
        <v>180</v>
      </c>
      <c r="D12" s="35" t="s">
        <v>181</v>
      </c>
      <c r="E12" s="35" t="s">
        <v>169</v>
      </c>
      <c r="F12" s="35" t="s">
        <v>136</v>
      </c>
      <c r="G12" s="35" t="s">
        <v>145</v>
      </c>
      <c r="H12" s="36" t="s">
        <v>182</v>
      </c>
      <c r="I12" s="35" t="s">
        <v>183</v>
      </c>
      <c r="J12" s="35" t="s">
        <v>173</v>
      </c>
      <c r="K12" s="35"/>
      <c r="L12" s="35" t="s">
        <v>184</v>
      </c>
    </row>
    <row r="13" customFormat="false" ht="25.5" hidden="false" customHeight="true" outlineLevel="0" collapsed="false">
      <c r="A13" s="37" t="n">
        <v>9</v>
      </c>
      <c r="B13" s="37"/>
      <c r="C13" s="37" t="s">
        <v>185</v>
      </c>
      <c r="D13" s="37" t="s">
        <v>186</v>
      </c>
      <c r="E13" s="37" t="s">
        <v>187</v>
      </c>
      <c r="F13" s="37" t="s">
        <v>136</v>
      </c>
      <c r="G13" s="37" t="s">
        <v>145</v>
      </c>
      <c r="H13" s="38" t="s">
        <v>188</v>
      </c>
      <c r="I13" s="37" t="s">
        <v>189</v>
      </c>
      <c r="J13" s="37" t="s">
        <v>140</v>
      </c>
      <c r="K13" s="37"/>
      <c r="L13" s="37" t="s">
        <v>190</v>
      </c>
    </row>
    <row r="14" customFormat="false" ht="25.5" hidden="false" customHeight="true" outlineLevel="0" collapsed="false">
      <c r="A14" s="39" t="n">
        <v>10</v>
      </c>
      <c r="B14" s="39"/>
      <c r="C14" s="39" t="s">
        <v>191</v>
      </c>
      <c r="D14" s="39" t="s">
        <v>168</v>
      </c>
      <c r="E14" s="39" t="s">
        <v>169</v>
      </c>
      <c r="F14" s="39" t="s">
        <v>170</v>
      </c>
      <c r="G14" s="39" t="s">
        <v>145</v>
      </c>
      <c r="H14" s="40" t="s">
        <v>192</v>
      </c>
      <c r="I14" s="39" t="s">
        <v>193</v>
      </c>
      <c r="J14" s="39" t="s">
        <v>173</v>
      </c>
      <c r="K14" s="39"/>
      <c r="L14" s="39" t="s">
        <v>194</v>
      </c>
    </row>
    <row r="15" customFormat="false" ht="25.5" hidden="false" customHeight="true" outlineLevel="0" collapsed="false">
      <c r="A15" s="39" t="n">
        <v>11</v>
      </c>
      <c r="B15" s="39"/>
      <c r="C15" s="39" t="s">
        <v>195</v>
      </c>
      <c r="D15" s="39" t="s">
        <v>168</v>
      </c>
      <c r="E15" s="39" t="s">
        <v>169</v>
      </c>
      <c r="F15" s="39" t="s">
        <v>170</v>
      </c>
      <c r="G15" s="39" t="s">
        <v>145</v>
      </c>
      <c r="H15" s="40" t="s">
        <v>196</v>
      </c>
      <c r="I15" s="39" t="s">
        <v>177</v>
      </c>
      <c r="J15" s="39" t="s">
        <v>197</v>
      </c>
      <c r="K15" s="39"/>
      <c r="L15" s="39" t="s">
        <v>198</v>
      </c>
    </row>
    <row r="16" customFormat="false" ht="25.5" hidden="false" customHeight="true" outlineLevel="0" collapsed="false">
      <c r="A16" s="35" t="n">
        <v>12</v>
      </c>
      <c r="B16" s="35"/>
      <c r="C16" s="35" t="s">
        <v>199</v>
      </c>
      <c r="D16" s="35" t="s">
        <v>181</v>
      </c>
      <c r="E16" s="35" t="s">
        <v>169</v>
      </c>
      <c r="F16" s="35" t="s">
        <v>170</v>
      </c>
      <c r="G16" s="35" t="s">
        <v>145</v>
      </c>
      <c r="H16" s="36" t="s">
        <v>200</v>
      </c>
      <c r="I16" s="35" t="s">
        <v>201</v>
      </c>
      <c r="J16" s="35" t="s">
        <v>173</v>
      </c>
      <c r="K16" s="35"/>
      <c r="L16" s="35" t="s">
        <v>202</v>
      </c>
    </row>
    <row r="17" customFormat="false" ht="25.5" hidden="false" customHeight="true" outlineLevel="0" collapsed="false">
      <c r="A17" s="22" t="n">
        <v>13</v>
      </c>
      <c r="B17" s="22"/>
      <c r="C17" s="22" t="s">
        <v>203</v>
      </c>
      <c r="D17" s="22" t="s">
        <v>204</v>
      </c>
      <c r="E17" s="22" t="s">
        <v>205</v>
      </c>
      <c r="F17" s="22" t="s">
        <v>136</v>
      </c>
      <c r="G17" s="22" t="s">
        <v>145</v>
      </c>
      <c r="H17" s="23" t="s">
        <v>206</v>
      </c>
      <c r="I17" s="22" t="s">
        <v>172</v>
      </c>
      <c r="J17" s="22" t="s">
        <v>173</v>
      </c>
      <c r="K17" s="22"/>
      <c r="L17" s="22" t="s">
        <v>207</v>
      </c>
    </row>
    <row r="18" customFormat="false" ht="30" hidden="false" customHeight="true" outlineLevel="0" collapsed="false">
      <c r="A18" s="27" t="n">
        <v>14</v>
      </c>
      <c r="B18" s="28" t="s">
        <v>208</v>
      </c>
      <c r="C18" s="29" t="s">
        <v>209</v>
      </c>
      <c r="D18" s="27" t="s">
        <v>210</v>
      </c>
      <c r="E18" s="27" t="s">
        <v>211</v>
      </c>
      <c r="F18" s="27" t="s">
        <v>136</v>
      </c>
      <c r="G18" s="27" t="s">
        <v>212</v>
      </c>
      <c r="H18" s="30" t="s">
        <v>213</v>
      </c>
      <c r="I18" s="27" t="s">
        <v>214</v>
      </c>
      <c r="J18" s="27" t="s">
        <v>161</v>
      </c>
      <c r="K18" s="27"/>
      <c r="L18" s="27" t="s">
        <v>215</v>
      </c>
    </row>
    <row r="19" customFormat="false" ht="25.5" hidden="false" customHeight="true" outlineLevel="0" collapsed="false">
      <c r="A19" s="35" t="n">
        <v>15</v>
      </c>
      <c r="B19" s="35"/>
      <c r="C19" s="35" t="s">
        <v>216</v>
      </c>
      <c r="D19" s="35" t="s">
        <v>181</v>
      </c>
      <c r="E19" s="35" t="s">
        <v>144</v>
      </c>
      <c r="F19" s="35" t="s">
        <v>136</v>
      </c>
      <c r="G19" s="35" t="s">
        <v>145</v>
      </c>
      <c r="H19" s="36" t="s">
        <v>217</v>
      </c>
      <c r="I19" s="35" t="s">
        <v>218</v>
      </c>
      <c r="J19" s="35" t="s">
        <v>219</v>
      </c>
      <c r="K19" s="35"/>
      <c r="L19" s="35" t="s">
        <v>220</v>
      </c>
    </row>
    <row r="20" customFormat="false" ht="25.5" hidden="false" customHeight="true" outlineLevel="0" collapsed="false">
      <c r="A20" s="37" t="n">
        <v>16</v>
      </c>
      <c r="B20" s="37"/>
      <c r="C20" s="37" t="s">
        <v>221</v>
      </c>
      <c r="D20" s="37" t="s">
        <v>186</v>
      </c>
      <c r="E20" s="37" t="s">
        <v>187</v>
      </c>
      <c r="F20" s="37" t="s">
        <v>136</v>
      </c>
      <c r="G20" s="37" t="s">
        <v>145</v>
      </c>
      <c r="H20" s="38" t="s">
        <v>222</v>
      </c>
      <c r="I20" s="37" t="s">
        <v>223</v>
      </c>
      <c r="J20" s="37" t="s">
        <v>140</v>
      </c>
      <c r="K20" s="37"/>
      <c r="L20" s="37" t="s">
        <v>224</v>
      </c>
    </row>
    <row r="21" customFormat="false" ht="25.5" hidden="false" customHeight="true" outlineLevel="0" collapsed="false">
      <c r="A21" s="35" t="n">
        <v>17</v>
      </c>
      <c r="B21" s="35"/>
      <c r="C21" s="35" t="s">
        <v>225</v>
      </c>
      <c r="D21" s="35" t="s">
        <v>181</v>
      </c>
      <c r="E21" s="35" t="s">
        <v>169</v>
      </c>
      <c r="F21" s="35" t="s">
        <v>170</v>
      </c>
      <c r="G21" s="35" t="s">
        <v>145</v>
      </c>
      <c r="H21" s="36" t="s">
        <v>226</v>
      </c>
      <c r="I21" s="35" t="s">
        <v>177</v>
      </c>
      <c r="J21" s="35" t="s">
        <v>161</v>
      </c>
      <c r="K21" s="35"/>
      <c r="L21" s="35" t="s">
        <v>227</v>
      </c>
    </row>
    <row r="22" customFormat="false" ht="25.5" hidden="false" customHeight="true" outlineLevel="0" collapsed="false">
      <c r="A22" s="39" t="n">
        <v>18</v>
      </c>
      <c r="B22" s="39"/>
      <c r="C22" s="39" t="s">
        <v>228</v>
      </c>
      <c r="D22" s="39" t="s">
        <v>168</v>
      </c>
      <c r="E22" s="39" t="s">
        <v>169</v>
      </c>
      <c r="F22" s="39" t="s">
        <v>170</v>
      </c>
      <c r="G22" s="39" t="s">
        <v>145</v>
      </c>
      <c r="H22" s="40" t="s">
        <v>229</v>
      </c>
      <c r="I22" s="39" t="s">
        <v>177</v>
      </c>
      <c r="J22" s="39" t="s">
        <v>161</v>
      </c>
      <c r="K22" s="39"/>
      <c r="L22" s="39" t="s">
        <v>230</v>
      </c>
    </row>
  </sheetData>
  <autoFilter ref="A4:L22"/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21.75" hidden="false" customHeight="true" outlineLevel="0" collapsed="false">
      <c r="A1" s="26" t="s">
        <v>231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26"/>
      <c r="B2" s="26"/>
      <c r="C2" s="26"/>
      <c r="D2" s="26"/>
      <c r="E2" s="26"/>
      <c r="F2" s="26"/>
      <c r="G2" s="26"/>
      <c r="H2" s="26"/>
    </row>
    <row r="3" customFormat="false" ht="19.5" hidden="false" customHeight="true" outlineLevel="0" collapsed="false">
      <c r="A3" s="41" t="s">
        <v>232</v>
      </c>
      <c r="B3" s="41"/>
      <c r="C3" s="41"/>
      <c r="D3" s="41"/>
      <c r="E3" s="41"/>
      <c r="F3" s="41"/>
      <c r="G3" s="41"/>
      <c r="H3" s="41"/>
    </row>
    <row r="4" customFormat="false" ht="21.75" hidden="false" customHeight="true" outlineLevel="0" collapsed="false">
      <c r="A4" s="4" t="s">
        <v>233</v>
      </c>
      <c r="B4" s="42" t="n">
        <f aca="false">IFERROR(SUM(E7:E30),0)</f>
        <v>0</v>
      </c>
      <c r="C4" s="4" t="s">
        <v>234</v>
      </c>
      <c r="D4" s="42" t="n">
        <f aca="false">IFERROR(COUNTA(B7:B30),0)</f>
        <v>0</v>
      </c>
      <c r="E4" s="4" t="s">
        <v>235</v>
      </c>
      <c r="F4" s="42" t="str">
        <f aca="false">IFERROR(COUNTA(B7:B30)/4*100,0)&amp;"%"</f>
        <v>0%</v>
      </c>
      <c r="G4" s="4" t="s">
        <v>236</v>
      </c>
      <c r="H4" s="42" t="n">
        <f aca="false">IFERROR(AVERAGE(G7:G30),0)</f>
        <v>0</v>
      </c>
    </row>
    <row r="5" customFormat="false" ht="7.5" hidden="false" customHeight="true" outlineLevel="0" collapsed="false"/>
    <row r="6" customFormat="false" ht="21.75" hidden="false" customHeight="true" outlineLevel="0" collapsed="false">
      <c r="A6" s="17" t="s">
        <v>237</v>
      </c>
      <c r="B6" s="17" t="s">
        <v>238</v>
      </c>
      <c r="C6" s="17" t="s">
        <v>40</v>
      </c>
      <c r="D6" s="17" t="s">
        <v>239</v>
      </c>
      <c r="E6" s="17" t="s">
        <v>240</v>
      </c>
      <c r="F6" s="17" t="s">
        <v>131</v>
      </c>
      <c r="G6" s="17" t="s">
        <v>241</v>
      </c>
      <c r="H6" s="17" t="s">
        <v>242</v>
      </c>
    </row>
    <row r="7" customFormat="false" ht="21.75" hidden="false" customHeight="true" outlineLevel="0" collapsed="false">
      <c r="A7" s="43" t="n">
        <v>1</v>
      </c>
      <c r="B7" s="44"/>
      <c r="C7" s="44"/>
      <c r="D7" s="44"/>
      <c r="E7" s="44"/>
      <c r="F7" s="44"/>
      <c r="G7" s="44"/>
      <c r="H7" s="44"/>
    </row>
    <row r="8" customFormat="false" ht="21.75" hidden="false" customHeight="true" outlineLevel="0" collapsed="false">
      <c r="A8" s="45" t="n">
        <v>2</v>
      </c>
      <c r="B8" s="46"/>
      <c r="C8" s="46"/>
      <c r="D8" s="46"/>
      <c r="E8" s="46"/>
      <c r="F8" s="46"/>
      <c r="G8" s="46"/>
      <c r="H8" s="46"/>
    </row>
    <row r="9" customFormat="false" ht="21.75" hidden="false" customHeight="true" outlineLevel="0" collapsed="false">
      <c r="A9" s="43" t="n">
        <v>3</v>
      </c>
      <c r="B9" s="44"/>
      <c r="C9" s="44"/>
      <c r="D9" s="44"/>
      <c r="E9" s="44"/>
      <c r="F9" s="44"/>
      <c r="G9" s="44"/>
      <c r="H9" s="44"/>
    </row>
    <row r="10" customFormat="false" ht="21.75" hidden="false" customHeight="true" outlineLevel="0" collapsed="false">
      <c r="A10" s="45" t="n">
        <v>4</v>
      </c>
      <c r="B10" s="46"/>
      <c r="C10" s="46"/>
      <c r="D10" s="46"/>
      <c r="E10" s="46"/>
      <c r="F10" s="46"/>
      <c r="G10" s="46"/>
      <c r="H10" s="46"/>
    </row>
  </sheetData>
  <mergeCells count="2">
    <mergeCell ref="A1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21.75" hidden="false" customHeight="true" outlineLevel="0" collapsed="false">
      <c r="A1" s="26" t="s">
        <v>243</v>
      </c>
      <c r="B1" s="26"/>
      <c r="C1" s="26"/>
      <c r="D1" s="26"/>
      <c r="E1" s="26"/>
    </row>
    <row r="2" customFormat="false" ht="21.75" hidden="false" customHeight="true" outlineLevel="0" collapsed="false">
      <c r="A2" s="26"/>
      <c r="B2" s="26"/>
      <c r="C2" s="26"/>
      <c r="D2" s="26"/>
      <c r="E2" s="26"/>
    </row>
    <row r="3" customFormat="false" ht="7.5" hidden="false" customHeight="true" outlineLevel="0" collapsed="false"/>
    <row r="4" customFormat="false" ht="19.5" hidden="false" customHeight="true" outlineLevel="0" collapsed="false">
      <c r="A4" s="6" t="s">
        <v>244</v>
      </c>
      <c r="B4" s="6"/>
      <c r="C4" s="6"/>
      <c r="D4" s="6"/>
      <c r="E4" s="6"/>
    </row>
    <row r="5" customFormat="false" ht="21.75" hidden="false" customHeight="true" outlineLevel="0" collapsed="false">
      <c r="A5" s="47" t="s">
        <v>245</v>
      </c>
      <c r="B5" s="47"/>
      <c r="C5" s="47"/>
      <c r="D5" s="47"/>
      <c r="E5" s="47"/>
    </row>
    <row r="6" customFormat="false" ht="21.75" hidden="false" customHeight="true" outlineLevel="0" collapsed="false">
      <c r="A6" s="47"/>
      <c r="B6" s="47"/>
      <c r="C6" s="47"/>
      <c r="D6" s="47"/>
      <c r="E6" s="47"/>
    </row>
    <row r="7" customFormat="false" ht="21.75" hidden="false" customHeight="true" outlineLevel="0" collapsed="false">
      <c r="A7" s="47"/>
      <c r="B7" s="47"/>
      <c r="C7" s="47"/>
      <c r="D7" s="47"/>
      <c r="E7" s="47"/>
    </row>
    <row r="8" customFormat="false" ht="7.5" hidden="false" customHeight="true" outlineLevel="0" collapsed="false"/>
    <row r="9" customFormat="false" ht="19.5" hidden="false" customHeight="true" outlineLevel="0" collapsed="false">
      <c r="A9" s="3" t="s">
        <v>246</v>
      </c>
      <c r="B9" s="3"/>
      <c r="C9" s="3"/>
      <c r="D9" s="3"/>
      <c r="E9" s="3"/>
    </row>
    <row r="10" customFormat="false" ht="19.5" hidden="false" customHeight="true" outlineLevel="0" collapsed="false">
      <c r="A10" s="48" t="s">
        <v>247</v>
      </c>
      <c r="B10" s="48"/>
      <c r="C10" s="48"/>
      <c r="D10" s="48"/>
      <c r="E10" s="48"/>
    </row>
    <row r="11" customFormat="false" ht="19.5" hidden="false" customHeight="true" outlineLevel="0" collapsed="false">
      <c r="A11" s="48" t="s">
        <v>248</v>
      </c>
      <c r="B11" s="48"/>
      <c r="C11" s="48"/>
      <c r="D11" s="48"/>
      <c r="E11" s="48"/>
    </row>
    <row r="12" customFormat="false" ht="19.5" hidden="false" customHeight="true" outlineLevel="0" collapsed="false">
      <c r="A12" s="48" t="s">
        <v>249</v>
      </c>
      <c r="B12" s="48"/>
      <c r="C12" s="48"/>
      <c r="D12" s="48"/>
      <c r="E12" s="48"/>
    </row>
    <row r="13" customFormat="false" ht="7.5" hidden="false" customHeight="true" outlineLevel="0" collapsed="false"/>
    <row r="14" customFormat="false" ht="19.5" hidden="false" customHeight="true" outlineLevel="0" collapsed="false">
      <c r="A14" s="49" t="s">
        <v>250</v>
      </c>
      <c r="B14" s="49"/>
      <c r="C14" s="49"/>
      <c r="D14" s="49"/>
      <c r="E14" s="49"/>
    </row>
    <row r="15" customFormat="false" ht="19.5" hidden="false" customHeight="true" outlineLevel="0" collapsed="false">
      <c r="A15" s="50" t="s">
        <v>251</v>
      </c>
      <c r="B15" s="50"/>
      <c r="C15" s="50"/>
      <c r="D15" s="50"/>
      <c r="E15" s="50"/>
    </row>
    <row r="16" customFormat="false" ht="19.5" hidden="false" customHeight="true" outlineLevel="0" collapsed="false">
      <c r="A16" s="50" t="s">
        <v>252</v>
      </c>
      <c r="B16" s="50"/>
      <c r="C16" s="50"/>
      <c r="D16" s="50"/>
      <c r="E16" s="50"/>
    </row>
    <row r="17" customFormat="false" ht="19.5" hidden="false" customHeight="true" outlineLevel="0" collapsed="false">
      <c r="A17" s="50" t="s">
        <v>253</v>
      </c>
      <c r="B17" s="50"/>
      <c r="C17" s="50"/>
      <c r="D17" s="50"/>
      <c r="E17" s="50"/>
    </row>
    <row r="18" customFormat="false" ht="7.5" hidden="false" customHeight="true" outlineLevel="0" collapsed="false"/>
    <row r="19" customFormat="false" ht="19.5" hidden="false" customHeight="true" outlineLevel="0" collapsed="false">
      <c r="A19" s="51" t="s">
        <v>254</v>
      </c>
      <c r="B19" s="51"/>
      <c r="C19" s="51"/>
      <c r="D19" s="51"/>
      <c r="E19" s="51"/>
    </row>
    <row r="20" customFormat="false" ht="18" hidden="false" customHeight="true" outlineLevel="0" collapsed="false">
      <c r="A20" s="52" t="s">
        <v>255</v>
      </c>
      <c r="B20" s="52"/>
      <c r="C20" s="52"/>
      <c r="D20" s="52"/>
      <c r="E20" s="52"/>
    </row>
    <row r="21" customFormat="false" ht="30" hidden="false" customHeight="true" outlineLevel="0" collapsed="false">
      <c r="A21" s="53" t="s">
        <v>256</v>
      </c>
      <c r="B21" s="53"/>
      <c r="C21" s="53"/>
      <c r="D21" s="53"/>
      <c r="E21" s="53"/>
    </row>
    <row r="22" customFormat="false" ht="18" hidden="false" customHeight="true" outlineLevel="0" collapsed="false">
      <c r="A22" s="52" t="s">
        <v>257</v>
      </c>
      <c r="B22" s="52"/>
      <c r="C22" s="52"/>
      <c r="D22" s="52"/>
      <c r="E22" s="52"/>
    </row>
    <row r="23" customFormat="false" ht="30" hidden="false" customHeight="true" outlineLevel="0" collapsed="false">
      <c r="A23" s="53" t="s">
        <v>258</v>
      </c>
      <c r="B23" s="53"/>
      <c r="C23" s="53"/>
      <c r="D23" s="53"/>
      <c r="E23" s="53"/>
    </row>
    <row r="24" customFormat="false" ht="18" hidden="false" customHeight="true" outlineLevel="0" collapsed="false">
      <c r="A24" s="52" t="s">
        <v>259</v>
      </c>
      <c r="B24" s="52"/>
      <c r="C24" s="52"/>
      <c r="D24" s="52"/>
      <c r="E24" s="52"/>
    </row>
    <row r="25" customFormat="false" ht="30" hidden="false" customHeight="true" outlineLevel="0" collapsed="false">
      <c r="A25" s="53" t="s">
        <v>260</v>
      </c>
      <c r="B25" s="53"/>
      <c r="C25" s="53"/>
      <c r="D25" s="53"/>
      <c r="E25" s="53"/>
    </row>
    <row r="26" customFormat="false" ht="18" hidden="false" customHeight="true" outlineLevel="0" collapsed="false">
      <c r="A26" s="52" t="s">
        <v>261</v>
      </c>
      <c r="B26" s="52"/>
      <c r="C26" s="52"/>
      <c r="D26" s="52"/>
      <c r="E26" s="52"/>
    </row>
    <row r="27" customFormat="false" ht="30" hidden="false" customHeight="true" outlineLevel="0" collapsed="false">
      <c r="A27" s="53" t="s">
        <v>262</v>
      </c>
      <c r="B27" s="53"/>
      <c r="C27" s="53"/>
      <c r="D27" s="53"/>
      <c r="E27" s="53"/>
    </row>
  </sheetData>
  <mergeCells count="20">
    <mergeCell ref="A1:E2"/>
    <mergeCell ref="A4:E4"/>
    <mergeCell ref="A5:E7"/>
    <mergeCell ref="A9:E9"/>
    <mergeCell ref="A10:E10"/>
    <mergeCell ref="A11:E11"/>
    <mergeCell ref="A12:E12"/>
    <mergeCell ref="A14:E14"/>
    <mergeCell ref="A15:E15"/>
    <mergeCell ref="A16:E16"/>
    <mergeCell ref="A17:E17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2026-04-22T15:27:42Z</dcterms:created>
  <dc:creator>openpyxl</dc:creator>
  <dc:description/>
  <dc:language>en-US</dc:language>
  <cp:lastModifiedBy/>
  <dcterms:modified xsi:type="dcterms:W3CDTF">2026-04-22T15:27:42Z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