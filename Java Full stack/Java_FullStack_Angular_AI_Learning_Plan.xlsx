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Learning Roadmap" sheetId="2" state="visible" r:id="rId4"/>
    <sheet name="Certifications" sheetId="3" state="visible" r:id="rId5"/>
    <sheet name="Resource Library" sheetId="4" state="visible" r:id="rId6"/>
    <sheet name="Progress Tracker" sheetId="5" state="visible" r:id="rId7"/>
    <sheet name="Goals &amp; Reflection" sheetId="6" state="visible" r:id="rId8"/>
  </sheets>
  <definedNames>
    <definedName function="false" hidden="true" localSheetId="3" name="_xlnm._FilterDatabase" vbProcedure="false">'Resource Library'!$A$4:$L$26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<sst xmlns="http://schemas.openxmlformats.org/spreadsheetml/2006/main" count="382" uniqueCount="270">
  <si>
    <t xml:space="preserve">🚀 Java Full Stack + Angular + AI — Personal Learning Plan</t>
  </si>
  <si>
    <t xml:space="preserve">Cognizant Gen C Level-Up Roadmap  •  Hybrid Mode (Skill + Certification)</t>
  </si>
  <si>
    <t xml:space="preserve">👤  Learner Profile</t>
  </si>
  <si>
    <t xml:space="preserve">Cognizant Gen C Fresher — knows Java + Spring Core</t>
  </si>
  <si>
    <t xml:space="preserve">🎯  Primary Goal</t>
  </si>
  <si>
    <t xml:space="preserve">Level up skills for internal promotion and/or external job switch</t>
  </si>
  <si>
    <t xml:space="preserve">📚  Plan Mode</t>
  </si>
  <si>
    <t xml:space="preserve">Hybrid — Skill-building + Certifications</t>
  </si>
  <si>
    <t xml:space="preserve">📈  Starting Level</t>
  </si>
  <si>
    <t xml:space="preserve">Intermediate (solid Java, some Spring)</t>
  </si>
  <si>
    <t xml:space="preserve">⏱️  Weekly Commitment</t>
  </si>
  <si>
    <t xml:space="preserve">3–7 hours/week (avg 5 hrs)</t>
  </si>
  <si>
    <t xml:space="preserve">🗓️  Primary Timeline</t>
  </si>
  <si>
    <t xml:space="preserve">3 months fast-track (Phases 1–2) + optional continuation (Phases 3–5)</t>
  </si>
  <si>
    <t xml:space="preserve">🎬  Learning Style</t>
  </si>
  <si>
    <t xml:space="preserve">Videos &amp; courses (primary), hands-on projects (secondary)</t>
  </si>
  <si>
    <t xml:space="preserve">⭐  Key Differentiator</t>
  </si>
  <si>
    <t xml:space="preserve">Adding Spring AI / LangChain4j for GenAI-enabled Java dev</t>
  </si>
  <si>
    <t xml:space="preserve">📊 Plan Summary Stats</t>
  </si>
  <si>
    <t xml:space="preserve">Total Phases</t>
  </si>
  <si>
    <t xml:space="preserve">Certs Recommended</t>
  </si>
  <si>
    <t xml:space="preserve">Curated Resources</t>
  </si>
  <si>
    <t xml:space="preserve">Est. Hours (Full Plan)</t>
  </si>
  <si>
    <t xml:space="preserve">3-Month Sprint Hours</t>
  </si>
  <si>
    <t xml:space="preserve">🎨 Status Color Legend (used across all sheets)</t>
  </si>
  <si>
    <t xml:space="preserve">Not Started</t>
  </si>
  <si>
    <t xml:space="preserve">Planned</t>
  </si>
  <si>
    <t xml:space="preserve">In Progress</t>
  </si>
  <si>
    <t xml:space="preserve">Complete / Passed</t>
  </si>
  <si>
    <t xml:space="preserve">🗺️ Learning Roadmap — 5 Phases</t>
  </si>
  <si>
    <t xml:space="preserve">Phase</t>
  </si>
  <si>
    <t xml:space="preserve">Duration</t>
  </si>
  <si>
    <t xml:space="preserve">Weeks</t>
  </si>
  <si>
    <t xml:space="preserve">Key Topics</t>
  </si>
  <si>
    <t xml:space="preserve">Milestone / Project</t>
  </si>
  <si>
    <t xml:space="preserve">Cert Tie-in</t>
  </si>
  <si>
    <t xml:space="preserve">Status</t>
  </si>
  <si>
    <t xml:space="preserve">Phase 1 — Spring Boot Mastery ⭐</t>
  </si>
  <si>
    <t xml:space="preserve">Weeks 1–5</t>
  </si>
  <si>
    <t xml:space="preserve">5 weeks</t>
  </si>
  <si>
    <t xml:space="preserve">Spring Boot auto-config, REST APIs, Spring Data JPA + Hibernate, Validation, Exception handling, Spring Security (JWT), Profiles, DevTools, Postman, Lombok, Actuator</t>
  </si>
  <si>
    <t xml:space="preserve">Build a secure REST API (Task Manager) with JWT auth, MySQL, Swagger docs — deploy locally</t>
  </si>
  <si>
    <t xml:space="preserve">Spring Professional (prep)</t>
  </si>
  <si>
    <t xml:space="preserve">Phase 2 — Angular Fundamentals ⭐</t>
  </si>
  <si>
    <t xml:space="preserve">Weeks 6–12</t>
  </si>
  <si>
    <t xml:space="preserve">7 weeks</t>
  </si>
  <si>
    <t xml:space="preserve">TypeScript essentials, Angular CLI, Components, Directives, Services + DI, Routing, Forms (Reactive), HttpClient, RxJS basics, Integrate with Spring Boot backend</t>
  </si>
  <si>
    <t xml:space="preserve">Build the Task Manager frontend — full-stack integration with Phase 1 API, deployed to Netlify/Vercel</t>
  </si>
  <si>
    <t xml:space="preserve">— (portfolio milestone)</t>
  </si>
  <si>
    <t xml:space="preserve">Phase 3 — Microservices &amp; DevOps</t>
  </si>
  <si>
    <t xml:space="preserve">Weeks 13–18</t>
  </si>
  <si>
    <t xml:space="preserve">6 weeks</t>
  </si>
  <si>
    <t xml:space="preserve">Microservices principles, Spring Cloud basics, API Gateway, Eureka, Docker, Docker Compose, GitHub Actions CI/CD, JUnit 5 + Mockito testing</t>
  </si>
  <si>
    <t xml:space="preserve">Split monolith into 2 microservices, containerize, set up CI pipeline</t>
  </si>
  <si>
    <t xml:space="preserve">Spring Professional (target)</t>
  </si>
  <si>
    <t xml:space="preserve">Phase 4 — AI Integration for Java Devs 🤖</t>
  </si>
  <si>
    <t xml:space="preserve">Weeks 19–23</t>
  </si>
  <si>
    <t xml:space="preserve">LLM fundamentals, Prompting, Spring AI, LangChain4j, OpenAI/Anthropic APIs, RAG pattern, Vector DBs (pgvector/Chroma), Embeddings, Function calling</t>
  </si>
  <si>
    <t xml:space="preserve">Add an AI assistant feature to Task Manager (RAG over tasks) — YOUR DIFFERENTIATOR</t>
  </si>
  <si>
    <t xml:space="preserve">— (portfolio highlight)</t>
  </si>
  <si>
    <t xml:space="preserve">Phase 5 — Cloud + Capstone + Interview Prep</t>
  </si>
  <si>
    <t xml:space="preserve">Weeks 24–28</t>
  </si>
  <si>
    <t xml:space="preserve">AWS basics (EC2, S3, RDS, IAM), Deploying Spring Boot + Angular to AWS, System design basics, Java DSA refresh, mock interviews</t>
  </si>
  <si>
    <t xml:space="preserve">Deploy full stack app to AWS + polished GitHub portfolio + resume update</t>
  </si>
  <si>
    <t xml:space="preserve">AWS Cloud Practitioner (CLF-C02)</t>
  </si>
  <si>
    <t xml:space="preserve">💡 Your 3-month sprint focus = Phases 1–2 (realistic at 5 hrs/week). Phases 3–5 continue over months 4–7.</t>
  </si>
  <si>
    <t xml:space="preserve">🏆 Recommended Certifications</t>
  </si>
  <si>
    <t xml:space="preserve">⭐</t>
  </si>
  <si>
    <t xml:space="preserve">Cert Name</t>
  </si>
  <si>
    <t xml:space="preserve">Issuing Body</t>
  </si>
  <si>
    <t xml:space="preserve">Level</t>
  </si>
  <si>
    <t xml:space="preserve">Prerequisites</t>
  </si>
  <si>
    <t xml:space="preserve">Exam Format</t>
  </si>
  <si>
    <t xml:space="preserve">Cost (USD)</t>
  </si>
  <si>
    <t xml:space="preserve">Validity</t>
  </si>
  <si>
    <t xml:space="preserve">Recommended Phase</t>
  </si>
  <si>
    <t xml:space="preserve">Spring Certified Professional 2024</t>
  </si>
  <si>
    <t xml:space="preserve">Broadcom / VMware Tanzu</t>
  </si>
  <si>
    <t xml:space="preserve">Professional</t>
  </si>
  <si>
    <t xml:space="preserve">Solid Java + Spring Boot experience</t>
  </si>
  <si>
    <t xml:space="preserve">60 MCQs, 90 min, 76% to pass</t>
  </si>
  <si>
    <t xml:space="preserve">$275</t>
  </si>
  <si>
    <t xml:space="preserve">Does not expire</t>
  </si>
  <si>
    <t xml:space="preserve">After Phase 3</t>
  </si>
  <si>
    <t xml:space="preserve">Not Planned</t>
  </si>
  <si>
    <t xml:space="preserve">AWS Certified Cloud Practitioner (CLF-C02)</t>
  </si>
  <si>
    <t xml:space="preserve">Amazon Web Services</t>
  </si>
  <si>
    <t xml:space="preserve">Foundational</t>
  </si>
  <si>
    <t xml:space="preserve">None (basic cloud awareness helps)</t>
  </si>
  <si>
    <t xml:space="preserve">65 MCQ/MRQ, 90 min, 700/1000 to pass</t>
  </si>
  <si>
    <t xml:space="preserve">$100</t>
  </si>
  <si>
    <t xml:space="preserve">3 years</t>
  </si>
  <si>
    <t xml:space="preserve">After Phase 5</t>
  </si>
  <si>
    <t xml:space="preserve">Oracle Certified Professional: Java SE 17 Developer (1Z0-829)</t>
  </si>
  <si>
    <t xml:space="preserve">Oracle</t>
  </si>
  <si>
    <t xml:space="preserve">Strong Core Java</t>
  </si>
  <si>
    <t xml:space="preserve">50 MCQs, 90 min, 68% to pass</t>
  </si>
  <si>
    <t xml:space="preserve">$245</t>
  </si>
  <si>
    <t xml:space="preserve">Optional — parallel with Phase 1</t>
  </si>
  <si>
    <t xml:space="preserve">AWS Certified Developer – Associate (DVA-C02)</t>
  </si>
  <si>
    <t xml:space="preserve">Associate</t>
  </si>
  <si>
    <t xml:space="preserve">CLF-C02 recommended first</t>
  </si>
  <si>
    <t xml:space="preserve">65 MCQ/MRQ, 130 min, 720/1000 to pass</t>
  </si>
  <si>
    <t xml:space="preserve">$150</t>
  </si>
  <si>
    <t xml:space="preserve">After AWS CCP (Phase 5+)</t>
  </si>
  <si>
    <t xml:space="preserve">🔗 Official Links</t>
  </si>
  <si>
    <t xml:space="preserve">https://www.vmware.com/learning/certification/spring-professional.html</t>
  </si>
  <si>
    <t xml:space="preserve">https://aws.amazon.com/certification/certified-cloud-practitioner/</t>
  </si>
  <si>
    <t xml:space="preserve">Oracle Java SE 17 Developer (1Z0-829)</t>
  </si>
  <si>
    <t xml:space="preserve">https://education.oracle.com/java-se-17-developer/pexam_1Z0-829</t>
  </si>
  <si>
    <t xml:space="preserve">AWS Developer – Associate (DVA-C02)</t>
  </si>
  <si>
    <t xml:space="preserve">https://aws.amazon.com/certification/certified-developer-associate/</t>
  </si>
  <si>
    <t xml:space="preserve">📚 Curated Resource Library (22 top picks)</t>
  </si>
  <si>
    <t xml:space="preserve">#</t>
  </si>
  <si>
    <t xml:space="preserve">Resource Name</t>
  </si>
  <si>
    <t xml:space="preserve">Type</t>
  </si>
  <si>
    <t xml:space="preserve">Platform</t>
  </si>
  <si>
    <t xml:space="preserve">Cost</t>
  </si>
  <si>
    <t xml:space="preserve">URL</t>
  </si>
  <si>
    <t xml:space="preserve">Est. Time</t>
  </si>
  <si>
    <t xml:space="preserve">My Rating (1–5)</t>
  </si>
  <si>
    <t xml:space="preserve">Notes</t>
  </si>
  <si>
    <t xml:space="preserve">Spring Boot 3 &amp; Spring Framework 6 (Chad Darby)</t>
  </si>
  <si>
    <t xml:space="preserve">Video Course</t>
  </si>
  <si>
    <t xml:space="preserve">Udemy</t>
  </si>
  <si>
    <t xml:space="preserve">Intermediate</t>
  </si>
  <si>
    <t xml:space="preserve">$15–30</t>
  </si>
  <si>
    <t xml:space="preserve">https://www.udemy.com/course/spring-hibernate-tutorial/</t>
  </si>
  <si>
    <t xml:space="preserve">30 hrs</t>
  </si>
  <si>
    <t xml:space="preserve">Phase 1</t>
  </si>
  <si>
    <t xml:space="preserve">TOP PICK — your primary Spring Boot course. Comprehensive &amp; current.</t>
  </si>
  <si>
    <t xml:space="preserve">Spring Boot Official Reference Docs</t>
  </si>
  <si>
    <t xml:space="preserve">Docs</t>
  </si>
  <si>
    <t xml:space="preserve">spring.io</t>
  </si>
  <si>
    <t xml:space="preserve">All levels</t>
  </si>
  <si>
    <t xml:space="preserve">Free</t>
  </si>
  <si>
    <t xml:space="preserve">https://docs.spring.io/spring-boot/docs/current/reference/html/</t>
  </si>
  <si>
    <t xml:space="preserve">Ongoing</t>
  </si>
  <si>
    <t xml:space="preserve">Bookmark. Best reference for every Spring Boot feature.</t>
  </si>
  <si>
    <t xml:space="preserve">Amigoscode Spring Boot Tutorials</t>
  </si>
  <si>
    <t xml:space="preserve">YouTube</t>
  </si>
  <si>
    <t xml:space="preserve">https://www.youtube.com/@amigoscode</t>
  </si>
  <si>
    <t xml:space="preserve">10–15 hrs</t>
  </si>
  <si>
    <t xml:space="preserve">Free, high-quality supplement. Great for JWT + security.</t>
  </si>
  <si>
    <t xml:space="preserve">Baeldung — Spring Tutorials</t>
  </si>
  <si>
    <t xml:space="preserve">Articles</t>
  </si>
  <si>
    <t xml:space="preserve">baeldung.com</t>
  </si>
  <si>
    <t xml:space="preserve">https://www.baeldung.com/spring-boot</t>
  </si>
  <si>
    <t xml:space="preserve">Go-to reference for specific Spring problems.</t>
  </si>
  <si>
    <t xml:space="preserve">Angular — The Complete Guide (Maximilian Schwarzmüller)</t>
  </si>
  <si>
    <t xml:space="preserve">Beginner–Advanced</t>
  </si>
  <si>
    <t xml:space="preserve">https://www.udemy.com/course/the-complete-guide-to-angular-2/</t>
  </si>
  <si>
    <t xml:space="preserve">36 hrs</t>
  </si>
  <si>
    <t xml:space="preserve">Phase 2</t>
  </si>
  <si>
    <t xml:space="preserve">TOP PICK — the definitive Angular course. Worth every minute.</t>
  </si>
  <si>
    <t xml:space="preserve">Angular Official Docs + Tutorial</t>
  </si>
  <si>
    <t xml:space="preserve">angular.dev</t>
  </si>
  <si>
    <t xml:space="preserve">https://angular.dev/tutorials</t>
  </si>
  <si>
    <t xml:space="preserve">10 hrs</t>
  </si>
  <si>
    <t xml:space="preserve">Newly revamped. Start with the 'Tour of Heroes' tutorial.</t>
  </si>
  <si>
    <t xml:space="preserve">TypeScript Handbook</t>
  </si>
  <si>
    <t xml:space="preserve">typescriptlang.org</t>
  </si>
  <si>
    <t xml:space="preserve">Beginner</t>
  </si>
  <si>
    <t xml:space="preserve">https://www.typescriptlang.org/docs/handbook/intro.html</t>
  </si>
  <si>
    <t xml:space="preserve">4 hrs</t>
  </si>
  <si>
    <t xml:space="preserve">Read first week of Phase 2 before deep Angular.</t>
  </si>
  <si>
    <t xml:space="preserve">Fireship — Angular in 100 Seconds + Courses</t>
  </si>
  <si>
    <t xml:space="preserve">https://www.youtube.com/@Fireship</t>
  </si>
  <si>
    <t xml:space="preserve">Browse</t>
  </si>
  <si>
    <t xml:space="preserve">Quick mental models, great for review.</t>
  </si>
  <si>
    <t xml:space="preserve">Master Microservices with Spring Boot and Spring Cloud (Eazy Bytes)</t>
  </si>
  <si>
    <t xml:space="preserve">https://www.udemy.com/course/master-microservices-with-spring-docker-kubernetes/</t>
  </si>
  <si>
    <t xml:space="preserve">52 hrs</t>
  </si>
  <si>
    <t xml:space="preserve">Phase 3</t>
  </si>
  <si>
    <t xml:space="preserve">TOP PICK for microservices. Industry-grade depth.</t>
  </si>
  <si>
    <t xml:space="preserve">Docker Mastery (Bret Fisher)</t>
  </si>
  <si>
    <t xml:space="preserve">https://www.udemy.com/course/docker-mastery/</t>
  </si>
  <si>
    <t xml:space="preserve">20 hrs</t>
  </si>
  <si>
    <t xml:space="preserve">Best Docker course, period.</t>
  </si>
  <si>
    <t xml:space="preserve">JUnit 5 + Mockito — Testing Java Applications</t>
  </si>
  <si>
    <t xml:space="preserve">https://www.udemy.com/course/junit-mockito-from-beginner-to-expert/</t>
  </si>
  <si>
    <t xml:space="preserve">Testing is a must-have for Spring Pro cert + jobs.</t>
  </si>
  <si>
    <t xml:space="preserve">GitHub Actions — Official Docs</t>
  </si>
  <si>
    <t xml:space="preserve">github.com</t>
  </si>
  <si>
    <t xml:space="preserve">https://docs.github.com/en/actions</t>
  </si>
  <si>
    <t xml:space="preserve">Free CI/CD — add to your portfolio repo.</t>
  </si>
  <si>
    <t xml:space="preserve">Spring AI Official Docs</t>
  </si>
  <si>
    <t xml:space="preserve">https://docs.spring.io/spring-ai/reference/</t>
  </si>
  <si>
    <t xml:space="preserve">8 hrs</t>
  </si>
  <si>
    <t xml:space="preserve">Phase 4</t>
  </si>
  <si>
    <t xml:space="preserve">TOP PICK — official, current, and free. Start here for AI + Spring.</t>
  </si>
  <si>
    <t xml:space="preserve">LangChain4j Docs &amp; Examples</t>
  </si>
  <si>
    <t xml:space="preserve">langchain4j.dev</t>
  </si>
  <si>
    <t xml:space="preserve">https://docs.langchain4j.dev/</t>
  </si>
  <si>
    <t xml:space="preserve">6 hrs</t>
  </si>
  <si>
    <t xml:space="preserve">Java alternative to LangChain. Excellent examples.</t>
  </si>
  <si>
    <t xml:space="preserve">Building RAG with Spring AI (Dan Vega YouTube)</t>
  </si>
  <si>
    <t xml:space="preserve">https://www.youtube.com/@DanVega</t>
  </si>
  <si>
    <t xml:space="preserve">Practical walk-through of RAG in Spring.</t>
  </si>
  <si>
    <t xml:space="preserve">Anthropic + OpenAI API Docs</t>
  </si>
  <si>
    <t xml:space="preserve">docs.claude.com / platform.openai.com</t>
  </si>
  <si>
    <t xml:space="preserve">Free / pay-per-use</t>
  </si>
  <si>
    <t xml:space="preserve">https://docs.claude.com</t>
  </si>
  <si>
    <t xml:space="preserve">3 hrs</t>
  </si>
  <si>
    <t xml:space="preserve">API basics + pricing. Get API keys to follow along.</t>
  </si>
  <si>
    <t xml:space="preserve">Ultimate AWS Certified Cloud Practitioner CLF-C02 (Stephane Maarek)</t>
  </si>
  <si>
    <t xml:space="preserve">https://www.udemy.com/course/aws-certified-cloud-practitioner-new/</t>
  </si>
  <si>
    <t xml:space="preserve">14 hrs</t>
  </si>
  <si>
    <t xml:space="preserve">Phase 5</t>
  </si>
  <si>
    <t xml:space="preserve">TOP PICK — Maarek is THE AWS cert instructor.</t>
  </si>
  <si>
    <t xml:space="preserve">Tutorials Dojo — AWS CCP Practice Exams</t>
  </si>
  <si>
    <t xml:space="preserve">Practice Tests</t>
  </si>
  <si>
    <t xml:space="preserve">tutorialsdojo.com</t>
  </si>
  <si>
    <t xml:space="preserve">$15</t>
  </si>
  <si>
    <t xml:space="preserve">https://portal.tutorialsdojo.com/</t>
  </si>
  <si>
    <t xml:space="preserve">Take before your CCP exam — most realistic practice.</t>
  </si>
  <si>
    <t xml:space="preserve">Grokking the System Design Interview</t>
  </si>
  <si>
    <t xml:space="preserve">Course</t>
  </si>
  <si>
    <t xml:space="preserve">Educative / DesignGurus</t>
  </si>
  <si>
    <t xml:space="preserve">$30/mo</t>
  </si>
  <si>
    <t xml:space="preserve">https://www.designgurus.io/course/grokking-the-system-design-interview</t>
  </si>
  <si>
    <t xml:space="preserve">Mid-level Java dev interviews now often include system design.</t>
  </si>
  <si>
    <t xml:space="preserve">NeetCode 150 (DSA)</t>
  </si>
  <si>
    <t xml:space="preserve">Problems + Videos</t>
  </si>
  <si>
    <t xml:space="preserve">neetcode.io</t>
  </si>
  <si>
    <t xml:space="preserve">https://neetcode.io/practice</t>
  </si>
  <si>
    <t xml:space="preserve">40+ hrs</t>
  </si>
  <si>
    <t xml:space="preserve">Curated DSA list. Focus on Blind 75 first.</t>
  </si>
  <si>
    <t xml:space="preserve">Spring Certified Professional 2024 — Official Study Guide</t>
  </si>
  <si>
    <t xml:space="preserve">Study Guide</t>
  </si>
  <si>
    <t xml:space="preserve">VMware Tanzu</t>
  </si>
  <si>
    <t xml:space="preserve">https://tanzu.vmware.com/training/certification/spring-professional-certification</t>
  </si>
  <si>
    <t xml:space="preserve">Official exam objectives — review before booking.</t>
  </si>
  <si>
    <t xml:space="preserve">Full Stack Open (Hy — University of Helsinki)</t>
  </si>
  <si>
    <t xml:space="preserve">Online Course</t>
  </si>
  <si>
    <t xml:space="preserve">fullstackopen.com</t>
  </si>
  <si>
    <t xml:space="preserve">https://fullstackopen.com/en/</t>
  </si>
  <si>
    <t xml:space="preserve">100+ hrs</t>
  </si>
  <si>
    <t xml:space="preserve">Cross-phase</t>
  </si>
  <si>
    <t xml:space="preserve">Free university course. Not Angular, but great for full-stack mental model.</t>
  </si>
  <si>
    <t xml:space="preserve">⏳ Weekly Progress Tracker</t>
  </si>
  <si>
    <t xml:space="preserve">Total Hours Logged</t>
  </si>
  <si>
    <t xml:space="preserve">Weeks Logged</t>
  </si>
  <si>
    <t xml:space="preserve">Avg Hrs / Week (logged)</t>
  </si>
  <si>
    <t xml:space="preserve">% Toward 3-Month Sprint (65 hrs)</t>
  </si>
  <si>
    <t xml:space="preserve">Week #</t>
  </si>
  <si>
    <t xml:space="preserve">Date</t>
  </si>
  <si>
    <t xml:space="preserve">Topics Studied</t>
  </si>
  <si>
    <t xml:space="preserve">Hours Spent</t>
  </si>
  <si>
    <t xml:space="preserve">Mood</t>
  </si>
  <si>
    <t xml:space="preserve">Reflection</t>
  </si>
  <si>
    <t xml:space="preserve">✨ My Why, My Goals, My Reflections</t>
  </si>
  <si>
    <t xml:space="preserve">💭 My Why — the deep reason behind this journey</t>
  </si>
  <si>
    <t xml:space="preserve">(Write 2–3 sentences on why this matters to you. Revisit this on hard weeks.)</t>
  </si>
  <si>
    <t xml:space="preserve">🎯 Short-term Goals (3 months)</t>
  </si>
  <si>
    <t xml:space="preserve">Goal 1:</t>
  </si>
  <si>
    <t xml:space="preserve">Goal 2:</t>
  </si>
  <si>
    <t xml:space="preserve">Goal 3:</t>
  </si>
  <si>
    <t xml:space="preserve">🚀 Long-term Goals (6–12 months)</t>
  </si>
  <si>
    <t xml:space="preserve">🪞 Monthly Reflection Prompts</t>
  </si>
  <si>
    <t xml:space="preserve">Month 1:</t>
  </si>
  <si>
    <t xml:space="preserve">What's the biggest concept I truly understood this month?</t>
  </si>
  <si>
    <t xml:space="preserve">Month 2:</t>
  </si>
  <si>
    <t xml:space="preserve">What did I struggle with — and what will I do differently next month?</t>
  </si>
  <si>
    <t xml:space="preserve">Month 3:</t>
  </si>
  <si>
    <t xml:space="preserve">Did I hit my weekly hours target? If not, what got in the way?</t>
  </si>
  <si>
    <t xml:space="preserve">Month 4:</t>
  </si>
  <si>
    <t xml:space="preserve">What's one thing I built or shipped that I'm proud of?</t>
  </si>
  <si>
    <t xml:space="preserve">Month 5:</t>
  </si>
  <si>
    <t xml:space="preserve">How close am I to my next certification goal?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</si>
</sst>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2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Calibri"/>
      <family val="0"/>
      <charset val="1"/>
    </font>
    <font>
      <b val="true"/>
      <i val="true"/>
      <sz val="12"/>
      <color rgb="FF00B8A9"/>
      <name val="Calibri"/>
      <family val="0"/>
      <charset val="1"/>
    </font>
    <font>
      <b val="true"/>
      <sz val="11"/>
      <color rgb="FF0A2540"/>
      <name val="Calibri"/>
      <family val="0"/>
      <charset val="1"/>
    </font>
    <font>
      <sz val="11"/>
      <color rgb="FF000000"/>
      <name val="Calibri"/>
      <family val="0"/>
      <charset val="1"/>
    </font>
    <font>
      <b val="true"/>
      <sz val="13"/>
      <color rgb="FFFFFFFF"/>
      <name val="Calibri"/>
      <family val="0"/>
      <charset val="1"/>
    </font>
    <font>
      <b val="true"/>
      <sz val="10"/>
      <color rgb="FF0A2540"/>
      <name val="Calibri"/>
      <family val="0"/>
      <charset val="1"/>
    </font>
    <font>
      <b val="true"/>
      <sz val="20"/>
      <color rgb="FFF08A5D"/>
      <name val="Calibri"/>
      <family val="0"/>
      <charset val="1"/>
    </font>
    <font>
      <b val="true"/>
      <sz val="12"/>
      <color rgb="FF0A2540"/>
      <name val="Calibri"/>
      <family val="0"/>
      <charset val="1"/>
    </font>
    <font>
      <b val="true"/>
      <sz val="16"/>
      <color rgb="FFFFFFFF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0"/>
      <color rgb="FF222222"/>
      <name val="Calibri"/>
      <family val="0"/>
      <charset val="1"/>
    </font>
    <font>
      <b val="true"/>
      <i val="true"/>
      <sz val="11"/>
      <color rgb="FF0A2540"/>
      <name val="Calibri"/>
      <family val="0"/>
      <charset val="1"/>
    </font>
    <font>
      <b val="true"/>
      <sz val="14"/>
      <color rgb="FFF9B03F"/>
      <name val="Calibri"/>
      <family val="0"/>
      <charset val="1"/>
    </font>
    <font>
      <b val="true"/>
      <sz val="12"/>
      <color rgb="FFFFFFFF"/>
      <name val="Calibri"/>
      <family val="0"/>
      <charset val="1"/>
    </font>
    <font>
      <u val="single"/>
      <sz val="10"/>
      <color rgb="FF0066CC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2"/>
      <color rgb="FFF9B03F"/>
      <name val="Calibri"/>
      <family val="0"/>
      <charset val="1"/>
    </font>
    <font>
      <u val="single"/>
      <sz val="9"/>
      <color rgb="FF0066CC"/>
      <name val="Calibri"/>
      <family val="0"/>
      <charset val="1"/>
    </font>
    <font>
      <sz val="10"/>
      <color rgb="FF0A2540"/>
      <name val="Calibri"/>
      <family val="0"/>
      <charset val="1"/>
    </font>
    <font>
      <b val="true"/>
      <sz val="16"/>
      <color rgb="FFF08A5D"/>
      <name val="Calibri"/>
      <family val="0"/>
      <charset val="1"/>
    </font>
    <font>
      <b val="true"/>
      <sz val="16"/>
      <color rgb="FF00B8A9"/>
      <name val="Calibri"/>
      <family val="0"/>
      <charset val="1"/>
    </font>
    <font>
      <b val="true"/>
      <sz val="16"/>
      <color rgb="FF4CAF50"/>
      <name val="Calibri"/>
      <family val="0"/>
      <charset val="1"/>
    </font>
    <font>
      <i val="true"/>
      <sz val="11"/>
      <color rgb="FF666666"/>
      <name val="Calibri"/>
      <family val="0"/>
      <charset val="1"/>
    </font>
    <font>
      <i val="true"/>
      <sz val="10"/>
      <color rgb="FF555555"/>
      <name val="Calibri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0A2540"/>
        <bgColor rgb="FF222222"/>
      </patternFill>
    </fill>
    <fill>
      <patternFill patternType="solid">
        <fgColor rgb="FFF5F7FA"/>
        <bgColor rgb="FFFFFFFF"/>
      </patternFill>
    </fill>
    <fill>
      <patternFill patternType="solid">
        <fgColor rgb="FF00B8A9"/>
        <bgColor rgb="FF33CCCC"/>
      </patternFill>
    </fill>
    <fill>
      <patternFill patternType="solid">
        <fgColor rgb="FFFFFFFF"/>
        <bgColor rgb="FFF5F7FA"/>
      </patternFill>
    </fill>
    <fill>
      <patternFill patternType="solid">
        <fgColor rgb="FFF9B03F"/>
        <bgColor rgb="FFF08A5D"/>
      </patternFill>
    </fill>
    <fill>
      <patternFill patternType="solid">
        <fgColor rgb="FFE2E3E5"/>
        <bgColor rgb="FFD4EDDA"/>
      </patternFill>
    </fill>
    <fill>
      <patternFill patternType="solid">
        <fgColor rgb="FFFFF3CD"/>
        <bgColor rgb="FFFFF9C4"/>
      </patternFill>
    </fill>
    <fill>
      <patternFill patternType="solid">
        <fgColor rgb="FFFFE0B2"/>
        <bgColor rgb="FFFFCCBC"/>
      </patternFill>
    </fill>
    <fill>
      <patternFill patternType="solid">
        <fgColor rgb="FFD4EDDA"/>
        <bgColor rgb="FFC8E6C9"/>
      </patternFill>
    </fill>
    <fill>
      <patternFill patternType="solid">
        <fgColor rgb="FFF08A5D"/>
        <bgColor rgb="FFF9B03F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C8CED3"/>
      </left>
      <right style="thin">
        <color rgb="FFC8CED3"/>
      </right>
      <top style="thin">
        <color rgb="FFC8CED3"/>
      </top>
      <bottom style="thin">
        <color rgb="FFC8CED3"/>
      </bottom>
      <diagonal/>
    </border>
    <border diagonalUp="false" diagonalDown="false">
      <left style="thin">
        <color rgb="FFC8CED3"/>
      </left>
      <right/>
      <top style="thin">
        <color rgb="FFC8CED3"/>
      </top>
      <bottom style="thin">
        <color rgb="FFC8CED3"/>
      </bottom>
      <diagonal/>
    </border>
    <border diagonalUp="false" diagonalDown="false">
      <left style="thin">
        <color rgb="FFC8CED3"/>
      </left>
      <right/>
      <top style="thin">
        <color rgb="FFC8CED3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4" fillId="5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4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5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8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4" fillId="8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8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8" borderId="1" xfId="0" applyFont="true" applyBorder="true" applyAlignment="true" applyProtection="false">
      <alignment horizontal="center" vertical="center" textRotation="0" wrapText="true" indent="1" shrinkToFit="false"/>
      <protection locked="true" hidden="false"/>
    </xf>
    <xf numFmtId="164" fontId="2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1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true" indent="1" shrinkToFit="false"/>
      <protection locked="true" hidden="false"/>
    </xf>
    <xf numFmtId="164" fontId="2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3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4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1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3" borderId="3" xfId="0" applyFont="true" applyBorder="true" applyAlignment="true" applyProtection="false">
      <alignment horizontal="left" vertical="top" textRotation="0" wrapText="true" indent="2" shrinkToFit="false"/>
      <protection locked="true" hidden="false"/>
    </xf>
    <xf numFmtId="164" fontId="7" fillId="5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3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9">
    <dxf>
      <fill>
        <patternFill>
          <bgColor rgb="FFD4EDDA"/>
        </patternFill>
      </fill>
    </dxf>
    <dxf>
      <fill>
        <patternFill>
          <bgColor rgb="FFFFE0B2"/>
        </patternFill>
      </fill>
    </dxf>
    <dxf>
      <fill>
        <patternFill>
          <bgColor rgb="FFE2E3E5"/>
        </patternFill>
      </fill>
    </dxf>
    <dxf>
      <fill>
        <patternFill>
          <bgColor rgb="FFFFF3CD"/>
        </patternFill>
      </fill>
    </dxf>
    <dxf>
      <fill>
        <patternFill patternType="solid">
          <fgColor rgb="FF00B8A9"/>
          <bgColor rgb="FF000000"/>
        </patternFill>
      </fill>
    </dxf>
    <dxf>
      <fill>
        <patternFill patternType="solid">
          <fgColor rgb="FFFFF3C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22222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9B03F"/>
          <bgColor rgb="FF000000"/>
        </patternFill>
      </fill>
    </dxf>
    <dxf>
      <fill>
        <patternFill patternType="solid">
          <fgColor rgb="FF0A2540"/>
          <bgColor rgb="FF000000"/>
        </patternFill>
      </fill>
    </dxf>
    <dxf>
      <fill>
        <patternFill patternType="solid">
          <fgColor rgb="FFC8E6C9"/>
          <bgColor rgb="FF000000"/>
        </patternFill>
      </fill>
    </dxf>
    <dxf>
      <fill>
        <patternFill patternType="solid">
          <fgColor rgb="FFD1C4E9"/>
          <bgColor rgb="FF000000"/>
        </patternFill>
      </fill>
    </dxf>
    <dxf>
      <fill>
        <patternFill patternType="solid">
          <fgColor rgb="FFE3F2FD"/>
          <bgColor rgb="FF000000"/>
        </patternFill>
      </fill>
    </dxf>
    <dxf>
      <fill>
        <patternFill patternType="solid">
          <fgColor rgb="FFE8F5E9"/>
          <bgColor rgb="FF000000"/>
        </patternFill>
      </fill>
    </dxf>
    <dxf>
      <fill>
        <patternFill patternType="solid">
          <fgColor rgb="FFF8BBD0"/>
          <bgColor rgb="FF000000"/>
        </patternFill>
      </fill>
    </dxf>
    <dxf>
      <fill>
        <patternFill patternType="solid">
          <fgColor rgb="FFFFCCBC"/>
          <bgColor rgb="FF000000"/>
        </patternFill>
      </fill>
    </dxf>
    <dxf>
      <fill>
        <patternFill patternType="solid">
          <fgColor rgb="FFFFCDD2"/>
          <bgColor rgb="FF000000"/>
        </patternFill>
      </fill>
    </dxf>
    <dxf>
      <fill>
        <patternFill patternType="solid">
          <fgColor rgb="FFFFE0B2"/>
          <bgColor rgb="FF000000"/>
        </patternFill>
      </fill>
    </dxf>
    <dxf>
      <fill>
        <patternFill patternType="solid">
          <fgColor rgb="FFFFF9C4"/>
          <bgColor rgb="FF000000"/>
        </patternFill>
      </fill>
    </dxf>
    <dxf>
      <fill>
        <patternFill patternType="solid">
          <fgColor rgb="FF0066CC"/>
          <bgColor rgb="FF000000"/>
        </patternFill>
      </fill>
    </dxf>
    <dxf>
      <fill>
        <patternFill>
          <bgColor rgb="FFE3F2FD"/>
        </patternFill>
      </fill>
    </dxf>
    <dxf>
      <fill>
        <patternFill>
          <bgColor rgb="FFFFCDD2"/>
        </patternFill>
      </fill>
    </dxf>
    <dxf>
      <fill>
        <patternFill>
          <bgColor rgb="FFF8BBD0"/>
        </patternFill>
      </fill>
    </dxf>
    <dxf>
      <fill>
        <patternFill>
          <bgColor rgb="FFE8F5E9"/>
        </patternFill>
      </fill>
    </dxf>
    <dxf>
      <fill>
        <patternFill>
          <bgColor rgb="FFFFF9C4"/>
        </patternFill>
      </fill>
    </dxf>
    <dxf>
      <fill>
        <patternFill>
          <bgColor rgb="FFD1C4E9"/>
        </patternFill>
      </fill>
    </dxf>
    <dxf>
      <fill>
        <patternFill>
          <bgColor rgb="FFC8E6C9"/>
        </patternFill>
      </fill>
    </dxf>
    <dxf>
      <fill>
        <patternFill>
          <bgColor rgb="FFFFCCB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5F7FA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8CED3"/>
      <rgbColor rgb="FF808080"/>
      <rgbColor rgb="FFE2E3E5"/>
      <rgbColor rgb="FF993366"/>
      <rgbColor rgb="FFFFF9C4"/>
      <rgbColor rgb="FFE3F2FD"/>
      <rgbColor rgb="FF660066"/>
      <rgbColor rgb="FFF08A5D"/>
      <rgbColor rgb="FF0066CC"/>
      <rgbColor rgb="FFD1C4E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8A9"/>
      <rgbColor rgb="FFE8F5E9"/>
      <rgbColor rgb="FFD4EDDA"/>
      <rgbColor rgb="FFFFF3CD"/>
      <rgbColor rgb="FFC8E6C9"/>
      <rgbColor rgb="FFF8BBD0"/>
      <rgbColor rgb="FFFFCDD2"/>
      <rgbColor rgb="FFFFCCBC"/>
      <rgbColor rgb="FF3366FF"/>
      <rgbColor rgb="FF33CCCC"/>
      <rgbColor rgb="FF99CC00"/>
      <rgbColor rgb="FFFFE0B2"/>
      <rgbColor rgb="FFF9B03F"/>
      <rgbColor rgb="FFFF6600"/>
      <rgbColor rgb="FF666666"/>
      <rgbColor rgb="FF969696"/>
      <rgbColor rgb="FF0A2540"/>
      <rgbColor rgb="FF4CAF50"/>
      <rgbColor rgb="FF003300"/>
      <rgbColor rgb="FF333300"/>
      <rgbColor rgb="FF993300"/>
      <rgbColor rgb="FF993366"/>
      <rgbColor rgb="FF555555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www.vmware.com/learning/certification/spring-professional.html" TargetMode="External"/><Relationship Id="rId2" Type="http://schemas.openxmlformats.org/officeDocument/2006/relationships/hyperlink" Target="https://aws.amazon.com/certification/certified-cloud-practitioner/" TargetMode="External"/><Relationship Id="rId3" Type="http://schemas.openxmlformats.org/officeDocument/2006/relationships/hyperlink" Target="https://education.oracle.com/java-se-17-developer/pexam_1Z0-829" TargetMode="External"/><Relationship Id="rId4" Type="http://schemas.openxmlformats.org/officeDocument/2006/relationships/hyperlink" Target="https://aws.amazon.com/certification/certified-developer-associate/" TargetMode="Externa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www.udemy.com/course/spring-hibernate-tutorial/" TargetMode="External"/><Relationship Id="rId2" Type="http://schemas.openxmlformats.org/officeDocument/2006/relationships/hyperlink" Target="https://docs.spring.io/spring-boot/docs/current/reference/html/" TargetMode="External"/><Relationship Id="rId3" Type="http://schemas.openxmlformats.org/officeDocument/2006/relationships/hyperlink" Target="https://www.youtube.com/@amigoscode" TargetMode="External"/><Relationship Id="rId4" Type="http://schemas.openxmlformats.org/officeDocument/2006/relationships/hyperlink" Target="https://www.baeldung.com/spring-boot" TargetMode="External"/><Relationship Id="rId5" Type="http://schemas.openxmlformats.org/officeDocument/2006/relationships/hyperlink" Target="https://www.udemy.com/course/the-complete-guide-to-angular-2/" TargetMode="External"/><Relationship Id="rId6" Type="http://schemas.openxmlformats.org/officeDocument/2006/relationships/hyperlink" Target="https://angular.dev/tutorials" TargetMode="External"/><Relationship Id="rId7" Type="http://schemas.openxmlformats.org/officeDocument/2006/relationships/hyperlink" Target="https://www.typescriptlang.org/docs/handbook/intro.html" TargetMode="External"/><Relationship Id="rId8" Type="http://schemas.openxmlformats.org/officeDocument/2006/relationships/hyperlink" Target="https://www.youtube.com/@Fireship" TargetMode="External"/><Relationship Id="rId9" Type="http://schemas.openxmlformats.org/officeDocument/2006/relationships/hyperlink" Target="https://www.udemy.com/course/master-microservices-with-spring-docker-kubernetes/" TargetMode="External"/><Relationship Id="rId10" Type="http://schemas.openxmlformats.org/officeDocument/2006/relationships/hyperlink" Target="https://www.udemy.com/course/docker-mastery/" TargetMode="External"/><Relationship Id="rId11" Type="http://schemas.openxmlformats.org/officeDocument/2006/relationships/hyperlink" Target="https://www.udemy.com/course/junit-mockito-from-beginner-to-expert/" TargetMode="External"/><Relationship Id="rId12" Type="http://schemas.openxmlformats.org/officeDocument/2006/relationships/hyperlink" Target="https://docs.github.com/en/actions" TargetMode="External"/><Relationship Id="rId13" Type="http://schemas.openxmlformats.org/officeDocument/2006/relationships/hyperlink" Target="https://docs.spring.io/spring-ai/reference/" TargetMode="External"/><Relationship Id="rId14" Type="http://schemas.openxmlformats.org/officeDocument/2006/relationships/hyperlink" Target="https://docs.langchain4j.dev/" TargetMode="External"/><Relationship Id="rId15" Type="http://schemas.openxmlformats.org/officeDocument/2006/relationships/hyperlink" Target="https://www.youtube.com/@DanVega" TargetMode="External"/><Relationship Id="rId16" Type="http://schemas.openxmlformats.org/officeDocument/2006/relationships/hyperlink" Target="https://docs.claude.com/" TargetMode="External"/><Relationship Id="rId17" Type="http://schemas.openxmlformats.org/officeDocument/2006/relationships/hyperlink" Target="https://www.udemy.com/course/aws-certified-cloud-practitioner-new/" TargetMode="External"/><Relationship Id="rId18" Type="http://schemas.openxmlformats.org/officeDocument/2006/relationships/hyperlink" Target="https://portal.tutorialsdojo.com/" TargetMode="External"/><Relationship Id="rId19" Type="http://schemas.openxmlformats.org/officeDocument/2006/relationships/hyperlink" Target="https://www.designgurus.io/course/grokking-the-system-design-interview" TargetMode="External"/><Relationship Id="rId20" Type="http://schemas.openxmlformats.org/officeDocument/2006/relationships/hyperlink" Target="https://neetcode.io/practice" TargetMode="External"/><Relationship Id="rId21" Type="http://schemas.openxmlformats.org/officeDocument/2006/relationships/hyperlink" Target="https://tanzu.vmware.com/training/certification/spring-professional-certification" TargetMode="External"/><Relationship Id="rId22" Type="http://schemas.openxmlformats.org/officeDocument/2006/relationships/hyperlink" Target="https://fullstackopen.com/en/" TargetMode="External"/><Relationship Id="rId23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4"/>
    <col collapsed="false" customWidth="true" hidden="false" outlineLevel="0" max="8" min="3" style="0" width="22"/>
  </cols>
  <sheetData>
    <row r="2" customFormat="false" ht="15" hidden="false" customHeight="false" outlineLevel="0" collapsed="false">
      <c r="B2" s="1" t="s">
        <v>0</v>
      </c>
      <c r="C2" s="1"/>
      <c r="D2" s="1"/>
      <c r="E2" s="1"/>
      <c r="F2" s="1"/>
      <c r="G2" s="1"/>
      <c r="H2" s="1"/>
    </row>
    <row r="3" customFormat="false" ht="15" hidden="false" customHeight="false" outlineLevel="0" collapsed="false">
      <c r="B3" s="1"/>
      <c r="C3" s="1"/>
      <c r="D3" s="1"/>
      <c r="E3" s="1"/>
      <c r="F3" s="1"/>
      <c r="G3" s="1"/>
      <c r="H3" s="1"/>
    </row>
    <row r="4" customFormat="false" ht="15" hidden="false" customHeight="false" outlineLevel="0" collapsed="false">
      <c r="B4" s="2" t="s">
        <v>1</v>
      </c>
      <c r="C4" s="2"/>
      <c r="D4" s="2"/>
      <c r="E4" s="2"/>
      <c r="F4" s="2"/>
      <c r="G4" s="2"/>
      <c r="H4" s="2"/>
    </row>
    <row r="6" customFormat="false" ht="24" hidden="false" customHeight="true" outlineLevel="0" collapsed="false">
      <c r="B6" s="3" t="s">
        <v>2</v>
      </c>
      <c r="C6" s="4" t="s">
        <v>3</v>
      </c>
      <c r="D6" s="4"/>
      <c r="E6" s="4"/>
      <c r="F6" s="4"/>
      <c r="G6" s="4"/>
      <c r="H6" s="4"/>
    </row>
    <row r="7" customFormat="false" ht="24" hidden="false" customHeight="true" outlineLevel="0" collapsed="false">
      <c r="B7" s="3" t="s">
        <v>4</v>
      </c>
      <c r="C7" s="4" t="s">
        <v>5</v>
      </c>
      <c r="D7" s="4"/>
      <c r="E7" s="4"/>
      <c r="F7" s="4"/>
      <c r="G7" s="4"/>
      <c r="H7" s="4"/>
    </row>
    <row r="8" customFormat="false" ht="24" hidden="false" customHeight="true" outlineLevel="0" collapsed="false">
      <c r="B8" s="3" t="s">
        <v>6</v>
      </c>
      <c r="C8" s="4" t="s">
        <v>7</v>
      </c>
      <c r="D8" s="4"/>
      <c r="E8" s="4"/>
      <c r="F8" s="4"/>
      <c r="G8" s="4"/>
      <c r="H8" s="4"/>
    </row>
    <row r="9" customFormat="false" ht="24" hidden="false" customHeight="true" outlineLevel="0" collapsed="false">
      <c r="B9" s="3" t="s">
        <v>8</v>
      </c>
      <c r="C9" s="4" t="s">
        <v>9</v>
      </c>
      <c r="D9" s="4"/>
      <c r="E9" s="4"/>
      <c r="F9" s="4"/>
      <c r="G9" s="4"/>
      <c r="H9" s="4"/>
    </row>
    <row r="10" customFormat="false" ht="24" hidden="false" customHeight="true" outlineLevel="0" collapsed="false">
      <c r="B10" s="3" t="s">
        <v>10</v>
      </c>
      <c r="C10" s="4" t="s">
        <v>11</v>
      </c>
      <c r="D10" s="4"/>
      <c r="E10" s="4"/>
      <c r="F10" s="4"/>
      <c r="G10" s="4"/>
      <c r="H10" s="4"/>
    </row>
    <row r="11" customFormat="false" ht="24" hidden="false" customHeight="true" outlineLevel="0" collapsed="false">
      <c r="B11" s="3" t="s">
        <v>12</v>
      </c>
      <c r="C11" s="4" t="s">
        <v>13</v>
      </c>
      <c r="D11" s="4"/>
      <c r="E11" s="4"/>
      <c r="F11" s="4"/>
      <c r="G11" s="4"/>
      <c r="H11" s="4"/>
    </row>
    <row r="12" customFormat="false" ht="24" hidden="false" customHeight="true" outlineLevel="0" collapsed="false">
      <c r="B12" s="3" t="s">
        <v>14</v>
      </c>
      <c r="C12" s="4" t="s">
        <v>15</v>
      </c>
      <c r="D12" s="4"/>
      <c r="E12" s="4"/>
      <c r="F12" s="4"/>
      <c r="G12" s="4"/>
      <c r="H12" s="4"/>
    </row>
    <row r="13" customFormat="false" ht="24" hidden="false" customHeight="true" outlineLevel="0" collapsed="false">
      <c r="B13" s="3" t="s">
        <v>16</v>
      </c>
      <c r="C13" s="4" t="s">
        <v>17</v>
      </c>
      <c r="D13" s="4"/>
      <c r="E13" s="4"/>
      <c r="F13" s="4"/>
      <c r="G13" s="4"/>
      <c r="H13" s="4"/>
    </row>
    <row r="15" customFormat="false" ht="25.5" hidden="false" customHeight="true" outlineLevel="0" collapsed="false">
      <c r="B15" s="5" t="s">
        <v>18</v>
      </c>
      <c r="C15" s="5"/>
      <c r="D15" s="5"/>
      <c r="E15" s="5"/>
      <c r="F15" s="5"/>
      <c r="G15" s="5"/>
      <c r="H15" s="5"/>
    </row>
    <row r="16" customFormat="false" ht="21.75" hidden="false" customHeight="true" outlineLevel="0" collapsed="false">
      <c r="B16" s="6" t="s">
        <v>19</v>
      </c>
      <c r="C16" s="6" t="s">
        <v>20</v>
      </c>
      <c r="D16" s="6" t="s">
        <v>21</v>
      </c>
      <c r="E16" s="6" t="s">
        <v>22</v>
      </c>
      <c r="F16" s="6" t="s">
        <v>23</v>
      </c>
    </row>
    <row r="17" customFormat="false" ht="39.75" hidden="false" customHeight="true" outlineLevel="0" collapsed="false">
      <c r="B17" s="7" t="n">
        <v>5</v>
      </c>
      <c r="C17" s="7" t="n">
        <v>4</v>
      </c>
      <c r="D17" s="7" t="n">
        <v>22</v>
      </c>
      <c r="E17" s="7" t="n">
        <v>280</v>
      </c>
      <c r="F17" s="7" t="n">
        <v>65</v>
      </c>
    </row>
    <row r="19" customFormat="false" ht="24" hidden="false" customHeight="true" outlineLevel="0" collapsed="false">
      <c r="B19" s="8" t="s">
        <v>24</v>
      </c>
      <c r="C19" s="8"/>
      <c r="D19" s="8"/>
      <c r="E19" s="8"/>
      <c r="F19" s="8"/>
      <c r="G19" s="8"/>
      <c r="H19" s="8"/>
    </row>
    <row r="20" customFormat="false" ht="24" hidden="false" customHeight="true" outlineLevel="0" collapsed="false">
      <c r="B20" s="9" t="s">
        <v>25</v>
      </c>
      <c r="C20" s="10" t="s">
        <v>26</v>
      </c>
      <c r="D20" s="11" t="s">
        <v>27</v>
      </c>
      <c r="E20" s="12" t="s">
        <v>28</v>
      </c>
    </row>
  </sheetData>
  <mergeCells count="12">
    <mergeCell ref="B2:H3"/>
    <mergeCell ref="B4:H4"/>
    <mergeCell ref="C6:H6"/>
    <mergeCell ref="C7:H7"/>
    <mergeCell ref="C8:H8"/>
    <mergeCell ref="C9:H9"/>
    <mergeCell ref="C10:H10"/>
    <mergeCell ref="C11:H11"/>
    <mergeCell ref="C12:H12"/>
    <mergeCell ref="C13:H13"/>
    <mergeCell ref="B15:H15"/>
    <mergeCell ref="B19:H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4"/>
    <col collapsed="false" customWidth="true" hidden="false" outlineLevel="0" max="3" min="3" style="0" width="10"/>
    <col collapsed="false" customWidth="true" hidden="false" outlineLevel="0" max="4" min="4" style="0" width="55"/>
    <col collapsed="false" customWidth="true" hidden="false" outlineLevel="0" max="5" min="5" style="0" width="48"/>
    <col collapsed="false" customWidth="true" hidden="false" outlineLevel="0" max="6" min="6" style="0" width="26"/>
    <col collapsed="false" customWidth="true" hidden="false" outlineLevel="0" max="7" min="7" style="0" width="16"/>
  </cols>
  <sheetData>
    <row r="1" customFormat="false" ht="21.75" hidden="false" customHeight="true" outlineLevel="0" collapsed="false">
      <c r="A1" s="13" t="s">
        <v>29</v>
      </c>
      <c r="B1" s="13"/>
      <c r="C1" s="13"/>
      <c r="D1" s="13"/>
      <c r="E1" s="13"/>
      <c r="F1" s="13"/>
      <c r="G1" s="13"/>
    </row>
    <row r="2" customFormat="false" ht="21.75" hidden="false" customHeight="true" outlineLevel="0" collapsed="false">
      <c r="A2" s="13"/>
      <c r="B2" s="13"/>
      <c r="C2" s="13"/>
      <c r="D2" s="13"/>
      <c r="E2" s="13"/>
      <c r="F2" s="13"/>
      <c r="G2" s="13"/>
    </row>
    <row r="4" customFormat="false" ht="30" hidden="false" customHeight="true" outlineLevel="0" collapsed="false">
      <c r="A4" s="14" t="s">
        <v>30</v>
      </c>
      <c r="B4" s="14" t="s">
        <v>31</v>
      </c>
      <c r="C4" s="14" t="s">
        <v>32</v>
      </c>
      <c r="D4" s="14" t="s">
        <v>33</v>
      </c>
      <c r="E4" s="14" t="s">
        <v>34</v>
      </c>
      <c r="F4" s="14" t="s">
        <v>35</v>
      </c>
      <c r="G4" s="14" t="s">
        <v>36</v>
      </c>
    </row>
    <row r="5" customFormat="false" ht="72" hidden="false" customHeight="true" outlineLevel="0" collapsed="false">
      <c r="A5" s="15" t="s">
        <v>37</v>
      </c>
      <c r="B5" s="16" t="s">
        <v>38</v>
      </c>
      <c r="C5" s="16" t="s">
        <v>39</v>
      </c>
      <c r="D5" s="16" t="s">
        <v>40</v>
      </c>
      <c r="E5" s="16" t="s">
        <v>41</v>
      </c>
      <c r="F5" s="16" t="s">
        <v>42</v>
      </c>
      <c r="G5" s="16" t="s">
        <v>25</v>
      </c>
    </row>
    <row r="6" customFormat="false" ht="72" hidden="false" customHeight="true" outlineLevel="0" collapsed="false">
      <c r="A6" s="17" t="s">
        <v>43</v>
      </c>
      <c r="B6" s="18" t="s">
        <v>44</v>
      </c>
      <c r="C6" s="18" t="s">
        <v>45</v>
      </c>
      <c r="D6" s="18" t="s">
        <v>46</v>
      </c>
      <c r="E6" s="18" t="s">
        <v>47</v>
      </c>
      <c r="F6" s="18" t="s">
        <v>48</v>
      </c>
      <c r="G6" s="18" t="s">
        <v>25</v>
      </c>
    </row>
    <row r="7" customFormat="false" ht="72" hidden="false" customHeight="true" outlineLevel="0" collapsed="false">
      <c r="A7" s="15" t="s">
        <v>49</v>
      </c>
      <c r="B7" s="16" t="s">
        <v>50</v>
      </c>
      <c r="C7" s="16" t="s">
        <v>51</v>
      </c>
      <c r="D7" s="16" t="s">
        <v>52</v>
      </c>
      <c r="E7" s="16" t="s">
        <v>53</v>
      </c>
      <c r="F7" s="16" t="s">
        <v>54</v>
      </c>
      <c r="G7" s="16" t="s">
        <v>25</v>
      </c>
    </row>
    <row r="8" customFormat="false" ht="72" hidden="false" customHeight="true" outlineLevel="0" collapsed="false">
      <c r="A8" s="17" t="s">
        <v>55</v>
      </c>
      <c r="B8" s="18" t="s">
        <v>56</v>
      </c>
      <c r="C8" s="18" t="s">
        <v>39</v>
      </c>
      <c r="D8" s="18" t="s">
        <v>57</v>
      </c>
      <c r="E8" s="18" t="s">
        <v>58</v>
      </c>
      <c r="F8" s="18" t="s">
        <v>59</v>
      </c>
      <c r="G8" s="18" t="s">
        <v>25</v>
      </c>
    </row>
    <row r="9" customFormat="false" ht="72" hidden="false" customHeight="true" outlineLevel="0" collapsed="false">
      <c r="A9" s="15" t="s">
        <v>60</v>
      </c>
      <c r="B9" s="16" t="s">
        <v>61</v>
      </c>
      <c r="C9" s="16" t="s">
        <v>39</v>
      </c>
      <c r="D9" s="16" t="s">
        <v>62</v>
      </c>
      <c r="E9" s="16" t="s">
        <v>63</v>
      </c>
      <c r="F9" s="16" t="s">
        <v>64</v>
      </c>
      <c r="G9" s="16" t="s">
        <v>25</v>
      </c>
    </row>
    <row r="11" customFormat="false" ht="30" hidden="false" customHeight="true" outlineLevel="0" collapsed="false">
      <c r="A11" s="19" t="s">
        <v>65</v>
      </c>
      <c r="B11" s="19"/>
      <c r="C11" s="19"/>
      <c r="D11" s="19"/>
      <c r="E11" s="19"/>
      <c r="F11" s="19"/>
      <c r="G11" s="19"/>
    </row>
  </sheetData>
  <mergeCells count="2">
    <mergeCell ref="A1:G2"/>
    <mergeCell ref="A11:G11"/>
  </mergeCells>
  <conditionalFormatting sqref="G5:G9">
    <cfRule type="cellIs" priority="2" operator="equal" aboveAverage="0" equalAverage="0" bottom="0" percent="0" rank="0" text="" dxfId="0">
      <formula>"Complete"</formula>
    </cfRule>
    <cfRule type="cellIs" priority="3" operator="equal" aboveAverage="0" equalAverage="0" bottom="0" percent="0" rank="0" text="" dxfId="1">
      <formula>"In Progress"</formula>
    </cfRule>
    <cfRule type="cellIs" priority="4" operator="equal" aboveAverage="0" equalAverage="0" bottom="0" percent="0" rank="0" text="" dxfId="2">
      <formula>"Not Started"</formula>
    </cfRule>
  </conditionalFormatting>
  <dataValidations count="1">
    <dataValidation allowBlank="true" errorStyle="stop" operator="between" showDropDown="false" showErrorMessage="false" showInputMessage="false" sqref="G5:G9" type="list">
      <formula1>"Not Started,In Progress,Complete"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2"/>
    <col collapsed="false" customWidth="true" hidden="false" outlineLevel="0" max="3" min="3" style="0" width="24"/>
    <col collapsed="false" customWidth="true" hidden="false" outlineLevel="0" max="4" min="4" style="0" width="16"/>
    <col collapsed="false" customWidth="true" hidden="false" outlineLevel="0" max="5" min="5" style="0" width="28"/>
    <col collapsed="false" customWidth="true" hidden="false" outlineLevel="0" max="6" min="6" style="0" width="32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9" min="9" style="0" width="26"/>
    <col collapsed="false" customWidth="true" hidden="false" outlineLevel="0" max="10" min="10" style="0" width="16"/>
  </cols>
  <sheetData>
    <row r="1" customFormat="false" ht="21.75" hidden="false" customHeight="true" outlineLevel="0" collapsed="false">
      <c r="A1" s="13" t="s">
        <v>66</v>
      </c>
      <c r="B1" s="13"/>
      <c r="C1" s="13"/>
      <c r="D1" s="13"/>
      <c r="E1" s="13"/>
      <c r="F1" s="13"/>
      <c r="G1" s="13"/>
      <c r="H1" s="13"/>
      <c r="I1" s="13"/>
      <c r="J1" s="13"/>
    </row>
    <row r="2" customFormat="false" ht="21.75" hidden="false" customHeight="true" outlineLevel="0" collapsed="false">
      <c r="A2" s="13"/>
      <c r="B2" s="13"/>
      <c r="C2" s="13"/>
      <c r="D2" s="13"/>
      <c r="E2" s="13"/>
      <c r="F2" s="13"/>
      <c r="G2" s="13"/>
      <c r="H2" s="13"/>
      <c r="I2" s="13"/>
      <c r="J2" s="13"/>
    </row>
    <row r="4" customFormat="false" ht="31.5" hidden="false" customHeight="true" outlineLevel="0" collapsed="false">
      <c r="A4" s="20" t="s">
        <v>67</v>
      </c>
      <c r="B4" s="20" t="s">
        <v>68</v>
      </c>
      <c r="C4" s="20" t="s">
        <v>69</v>
      </c>
      <c r="D4" s="20" t="s">
        <v>70</v>
      </c>
      <c r="E4" s="20" t="s">
        <v>71</v>
      </c>
      <c r="F4" s="20" t="s">
        <v>72</v>
      </c>
      <c r="G4" s="20" t="s">
        <v>73</v>
      </c>
      <c r="H4" s="20" t="s">
        <v>74</v>
      </c>
      <c r="I4" s="20" t="s">
        <v>75</v>
      </c>
      <c r="J4" s="20" t="s">
        <v>36</v>
      </c>
    </row>
    <row r="5" customFormat="false" ht="48" hidden="false" customHeight="true" outlineLevel="0" collapsed="false">
      <c r="A5" s="21" t="s">
        <v>67</v>
      </c>
      <c r="B5" s="22" t="s">
        <v>76</v>
      </c>
      <c r="C5" s="23" t="s">
        <v>77</v>
      </c>
      <c r="D5" s="23" t="s">
        <v>78</v>
      </c>
      <c r="E5" s="23" t="s">
        <v>79</v>
      </c>
      <c r="F5" s="23" t="s">
        <v>80</v>
      </c>
      <c r="G5" s="23" t="s">
        <v>81</v>
      </c>
      <c r="H5" s="23" t="s">
        <v>82</v>
      </c>
      <c r="I5" s="23" t="s">
        <v>83</v>
      </c>
      <c r="J5" s="23" t="s">
        <v>84</v>
      </c>
    </row>
    <row r="6" customFormat="false" ht="48" hidden="false" customHeight="true" outlineLevel="0" collapsed="false">
      <c r="A6" s="21" t="s">
        <v>67</v>
      </c>
      <c r="B6" s="22" t="s">
        <v>85</v>
      </c>
      <c r="C6" s="23" t="s">
        <v>86</v>
      </c>
      <c r="D6" s="23" t="s">
        <v>87</v>
      </c>
      <c r="E6" s="23" t="s">
        <v>88</v>
      </c>
      <c r="F6" s="23" t="s">
        <v>89</v>
      </c>
      <c r="G6" s="23" t="s">
        <v>90</v>
      </c>
      <c r="H6" s="23" t="s">
        <v>91</v>
      </c>
      <c r="I6" s="23" t="s">
        <v>92</v>
      </c>
      <c r="J6" s="23" t="s">
        <v>84</v>
      </c>
    </row>
    <row r="7" customFormat="false" ht="48" hidden="false" customHeight="true" outlineLevel="0" collapsed="false">
      <c r="A7" s="24"/>
      <c r="B7" s="15" t="s">
        <v>93</v>
      </c>
      <c r="C7" s="16" t="s">
        <v>94</v>
      </c>
      <c r="D7" s="16" t="s">
        <v>78</v>
      </c>
      <c r="E7" s="16" t="s">
        <v>95</v>
      </c>
      <c r="F7" s="16" t="s">
        <v>96</v>
      </c>
      <c r="G7" s="16" t="s">
        <v>97</v>
      </c>
      <c r="H7" s="16" t="s">
        <v>82</v>
      </c>
      <c r="I7" s="16" t="s">
        <v>98</v>
      </c>
      <c r="J7" s="16" t="s">
        <v>84</v>
      </c>
    </row>
    <row r="8" customFormat="false" ht="48" hidden="false" customHeight="true" outlineLevel="0" collapsed="false">
      <c r="A8" s="25"/>
      <c r="B8" s="17" t="s">
        <v>99</v>
      </c>
      <c r="C8" s="18" t="s">
        <v>86</v>
      </c>
      <c r="D8" s="18" t="s">
        <v>100</v>
      </c>
      <c r="E8" s="18" t="s">
        <v>101</v>
      </c>
      <c r="F8" s="18" t="s">
        <v>102</v>
      </c>
      <c r="G8" s="18" t="s">
        <v>103</v>
      </c>
      <c r="H8" s="18" t="s">
        <v>91</v>
      </c>
      <c r="I8" s="18" t="s">
        <v>104</v>
      </c>
      <c r="J8" s="18" t="s">
        <v>84</v>
      </c>
    </row>
    <row r="11" customFormat="false" ht="24" hidden="false" customHeight="true" outlineLevel="0" collapsed="false">
      <c r="A11" s="26" t="s">
        <v>105</v>
      </c>
      <c r="B11" s="26"/>
      <c r="C11" s="26"/>
      <c r="D11" s="26"/>
      <c r="E11" s="26"/>
      <c r="F11" s="26"/>
      <c r="G11" s="26"/>
      <c r="H11" s="26"/>
      <c r="I11" s="26"/>
      <c r="J11" s="26"/>
    </row>
    <row r="12" customFormat="false" ht="19.5" hidden="false" customHeight="true" outlineLevel="0" collapsed="false">
      <c r="A12" s="27" t="s">
        <v>76</v>
      </c>
      <c r="B12" s="27"/>
      <c r="C12" s="27"/>
      <c r="D12" s="27"/>
      <c r="E12" s="28" t="s">
        <v>106</v>
      </c>
      <c r="F12" s="28"/>
      <c r="G12" s="28"/>
      <c r="H12" s="28"/>
      <c r="I12" s="28"/>
      <c r="J12" s="28"/>
    </row>
    <row r="13" customFormat="false" ht="19.5" hidden="false" customHeight="true" outlineLevel="0" collapsed="false">
      <c r="A13" s="27" t="s">
        <v>64</v>
      </c>
      <c r="B13" s="27"/>
      <c r="C13" s="27"/>
      <c r="D13" s="27"/>
      <c r="E13" s="28" t="s">
        <v>107</v>
      </c>
      <c r="F13" s="28"/>
      <c r="G13" s="28"/>
      <c r="H13" s="28"/>
      <c r="I13" s="28"/>
      <c r="J13" s="28"/>
    </row>
    <row r="14" customFormat="false" ht="19.5" hidden="false" customHeight="true" outlineLevel="0" collapsed="false">
      <c r="A14" s="27" t="s">
        <v>108</v>
      </c>
      <c r="B14" s="27"/>
      <c r="C14" s="27"/>
      <c r="D14" s="27"/>
      <c r="E14" s="28" t="s">
        <v>109</v>
      </c>
      <c r="F14" s="28"/>
      <c r="G14" s="28"/>
      <c r="H14" s="28"/>
      <c r="I14" s="28"/>
      <c r="J14" s="28"/>
    </row>
    <row r="15" customFormat="false" ht="19.5" hidden="false" customHeight="true" outlineLevel="0" collapsed="false">
      <c r="A15" s="27" t="s">
        <v>110</v>
      </c>
      <c r="B15" s="27"/>
      <c r="C15" s="27"/>
      <c r="D15" s="27"/>
      <c r="E15" s="28" t="s">
        <v>111</v>
      </c>
      <c r="F15" s="28"/>
      <c r="G15" s="28"/>
      <c r="H15" s="28"/>
      <c r="I15" s="28"/>
      <c r="J15" s="28"/>
    </row>
  </sheetData>
  <mergeCells count="10">
    <mergeCell ref="A1:J2"/>
    <mergeCell ref="A11:J11"/>
    <mergeCell ref="A12:D12"/>
    <mergeCell ref="E12:J12"/>
    <mergeCell ref="A13:D13"/>
    <mergeCell ref="E13:J13"/>
    <mergeCell ref="A14:D14"/>
    <mergeCell ref="E14:J14"/>
    <mergeCell ref="A15:D15"/>
    <mergeCell ref="E15:J15"/>
  </mergeCells>
  <conditionalFormatting sqref="J5:J8">
    <cfRule type="cellIs" priority="2" operator="equal" aboveAverage="0" equalAverage="0" bottom="0" percent="0" rank="0" text="" dxfId="0">
      <formula>"Passed"</formula>
    </cfRule>
    <cfRule type="cellIs" priority="3" operator="equal" aboveAverage="0" equalAverage="0" bottom="0" percent="0" rank="0" text="" dxfId="1">
      <formula>"In Progress"</formula>
    </cfRule>
    <cfRule type="cellIs" priority="4" operator="equal" aboveAverage="0" equalAverage="0" bottom="0" percent="0" rank="0" text="" dxfId="3">
      <formula>"Planned"</formula>
    </cfRule>
    <cfRule type="cellIs" priority="5" operator="equal" aboveAverage="0" equalAverage="0" bottom="0" percent="0" rank="0" text="" dxfId="2">
      <formula>"Not Planned"</formula>
    </cfRule>
  </conditionalFormatting>
  <dataValidations count="1">
    <dataValidation allowBlank="true" errorStyle="stop" operator="between" showDropDown="false" showErrorMessage="false" showInputMessage="false" sqref="J5:J8" type="list">
      <formula1>"Not Planned,Planned,In Progress,Passed"</formula1>
      <formula2>0</formula2>
    </dataValidation>
  </dataValidations>
  <hyperlinks>
    <hyperlink ref="E12" r:id="rId1" display="https://www.vmware.com/learning/certification/spring-professional.html"/>
    <hyperlink ref="E13" r:id="rId2" display="https://aws.amazon.com/certification/certified-cloud-practitioner/"/>
    <hyperlink ref="E14" r:id="rId3" display="https://education.oracle.com/java-se-17-developer/pexam_1Z0-829"/>
    <hyperlink ref="E15" r:id="rId4" display="https://aws.amazon.com/certification/certified-developer-associate/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5"/>
    <col collapsed="false" customWidth="true" hidden="false" outlineLevel="0" max="3" min="3" style="0" width="42"/>
    <col collapsed="false" customWidth="true" hidden="false" outlineLevel="0" max="4" min="4" style="0" width="16"/>
    <col collapsed="false" customWidth="true" hidden="false" outlineLevel="0" max="5" min="5" style="0" width="22"/>
    <col collapsed="false" customWidth="true" hidden="false" outlineLevel="0" max="6" min="6" style="0" width="16"/>
    <col collapsed="false" customWidth="true" hidden="false" outlineLevel="0" max="7" min="7" style="0" width="14"/>
    <col collapsed="false" customWidth="true" hidden="false" outlineLevel="0" max="8" min="8" style="0" width="36"/>
    <col collapsed="false" customWidth="true" hidden="false" outlineLevel="0" max="9" min="9" style="0" width="12"/>
    <col collapsed="false" customWidth="true" hidden="false" outlineLevel="0" max="11" min="10" style="0" width="14"/>
    <col collapsed="false" customWidth="true" hidden="false" outlineLevel="0" max="12" min="12" style="0" width="40"/>
  </cols>
  <sheetData>
    <row r="1" customFormat="false" ht="21.75" hidden="false" customHeight="true" outlineLevel="0" collapsed="false">
      <c r="A1" s="13" t="s">
        <v>112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customFormat="false" ht="21.75" hidden="false" customHeight="true" outlineLevel="0" collapsed="false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</row>
    <row r="4" customFormat="false" ht="31.5" hidden="false" customHeight="true" outlineLevel="0" collapsed="false">
      <c r="A4" s="29" t="s">
        <v>113</v>
      </c>
      <c r="B4" s="29" t="s">
        <v>67</v>
      </c>
      <c r="C4" s="29" t="s">
        <v>114</v>
      </c>
      <c r="D4" s="29" t="s">
        <v>115</v>
      </c>
      <c r="E4" s="29" t="s">
        <v>116</v>
      </c>
      <c r="F4" s="29" t="s">
        <v>70</v>
      </c>
      <c r="G4" s="29" t="s">
        <v>117</v>
      </c>
      <c r="H4" s="29" t="s">
        <v>118</v>
      </c>
      <c r="I4" s="29" t="s">
        <v>119</v>
      </c>
      <c r="J4" s="29" t="s">
        <v>30</v>
      </c>
      <c r="K4" s="29" t="s">
        <v>120</v>
      </c>
      <c r="L4" s="29" t="s">
        <v>121</v>
      </c>
    </row>
    <row r="5" customFormat="false" ht="39.75" hidden="false" customHeight="true" outlineLevel="0" collapsed="false">
      <c r="A5" s="30" t="n">
        <v>1</v>
      </c>
      <c r="B5" s="31" t="s">
        <v>67</v>
      </c>
      <c r="C5" s="32" t="s">
        <v>122</v>
      </c>
      <c r="D5" s="30" t="s">
        <v>123</v>
      </c>
      <c r="E5" s="30" t="s">
        <v>124</v>
      </c>
      <c r="F5" s="30" t="s">
        <v>125</v>
      </c>
      <c r="G5" s="30" t="s">
        <v>126</v>
      </c>
      <c r="H5" s="33" t="s">
        <v>127</v>
      </c>
      <c r="I5" s="30" t="s">
        <v>128</v>
      </c>
      <c r="J5" s="30" t="s">
        <v>129</v>
      </c>
      <c r="K5" s="30"/>
      <c r="L5" s="23" t="s">
        <v>130</v>
      </c>
    </row>
    <row r="6" customFormat="false" ht="39.75" hidden="false" customHeight="true" outlineLevel="0" collapsed="false">
      <c r="A6" s="34" t="n">
        <v>2</v>
      </c>
      <c r="B6" s="35"/>
      <c r="C6" s="36" t="s">
        <v>131</v>
      </c>
      <c r="D6" s="34" t="s">
        <v>132</v>
      </c>
      <c r="E6" s="34" t="s">
        <v>133</v>
      </c>
      <c r="F6" s="34" t="s">
        <v>134</v>
      </c>
      <c r="G6" s="34" t="s">
        <v>135</v>
      </c>
      <c r="H6" s="37" t="s">
        <v>136</v>
      </c>
      <c r="I6" s="34" t="s">
        <v>137</v>
      </c>
      <c r="J6" s="34" t="s">
        <v>129</v>
      </c>
      <c r="K6" s="34"/>
      <c r="L6" s="38" t="s">
        <v>138</v>
      </c>
    </row>
    <row r="7" customFormat="false" ht="39.75" hidden="false" customHeight="true" outlineLevel="0" collapsed="false">
      <c r="A7" s="34" t="n">
        <v>3</v>
      </c>
      <c r="B7" s="35"/>
      <c r="C7" s="36" t="s">
        <v>139</v>
      </c>
      <c r="D7" s="34" t="s">
        <v>140</v>
      </c>
      <c r="E7" s="34" t="s">
        <v>140</v>
      </c>
      <c r="F7" s="34" t="s">
        <v>125</v>
      </c>
      <c r="G7" s="34" t="s">
        <v>135</v>
      </c>
      <c r="H7" s="37" t="s">
        <v>141</v>
      </c>
      <c r="I7" s="34" t="s">
        <v>142</v>
      </c>
      <c r="J7" s="34" t="s">
        <v>129</v>
      </c>
      <c r="K7" s="34"/>
      <c r="L7" s="38" t="s">
        <v>143</v>
      </c>
    </row>
    <row r="8" customFormat="false" ht="39.75" hidden="false" customHeight="true" outlineLevel="0" collapsed="false">
      <c r="A8" s="34" t="n">
        <v>4</v>
      </c>
      <c r="B8" s="35"/>
      <c r="C8" s="36" t="s">
        <v>144</v>
      </c>
      <c r="D8" s="34" t="s">
        <v>145</v>
      </c>
      <c r="E8" s="34" t="s">
        <v>146</v>
      </c>
      <c r="F8" s="34" t="s">
        <v>134</v>
      </c>
      <c r="G8" s="34" t="s">
        <v>135</v>
      </c>
      <c r="H8" s="37" t="s">
        <v>147</v>
      </c>
      <c r="I8" s="34" t="s">
        <v>137</v>
      </c>
      <c r="J8" s="34" t="s">
        <v>129</v>
      </c>
      <c r="K8" s="34"/>
      <c r="L8" s="38" t="s">
        <v>148</v>
      </c>
    </row>
    <row r="9" customFormat="false" ht="39.75" hidden="false" customHeight="true" outlineLevel="0" collapsed="false">
      <c r="A9" s="30" t="n">
        <v>5</v>
      </c>
      <c r="B9" s="31" t="s">
        <v>67</v>
      </c>
      <c r="C9" s="32" t="s">
        <v>149</v>
      </c>
      <c r="D9" s="30" t="s">
        <v>123</v>
      </c>
      <c r="E9" s="30" t="s">
        <v>124</v>
      </c>
      <c r="F9" s="30" t="s">
        <v>150</v>
      </c>
      <c r="G9" s="30" t="s">
        <v>126</v>
      </c>
      <c r="H9" s="33" t="s">
        <v>151</v>
      </c>
      <c r="I9" s="30" t="s">
        <v>152</v>
      </c>
      <c r="J9" s="30" t="s">
        <v>153</v>
      </c>
      <c r="K9" s="30"/>
      <c r="L9" s="23" t="s">
        <v>154</v>
      </c>
    </row>
    <row r="10" customFormat="false" ht="39.75" hidden="false" customHeight="true" outlineLevel="0" collapsed="false">
      <c r="A10" s="34" t="n">
        <v>6</v>
      </c>
      <c r="B10" s="35"/>
      <c r="C10" s="36" t="s">
        <v>155</v>
      </c>
      <c r="D10" s="34" t="s">
        <v>132</v>
      </c>
      <c r="E10" s="34" t="s">
        <v>156</v>
      </c>
      <c r="F10" s="34" t="s">
        <v>134</v>
      </c>
      <c r="G10" s="34" t="s">
        <v>135</v>
      </c>
      <c r="H10" s="37" t="s">
        <v>157</v>
      </c>
      <c r="I10" s="34" t="s">
        <v>158</v>
      </c>
      <c r="J10" s="34" t="s">
        <v>153</v>
      </c>
      <c r="K10" s="34"/>
      <c r="L10" s="38" t="s">
        <v>159</v>
      </c>
    </row>
    <row r="11" customFormat="false" ht="39.75" hidden="false" customHeight="true" outlineLevel="0" collapsed="false">
      <c r="A11" s="34" t="n">
        <v>7</v>
      </c>
      <c r="B11" s="35"/>
      <c r="C11" s="36" t="s">
        <v>160</v>
      </c>
      <c r="D11" s="34" t="s">
        <v>132</v>
      </c>
      <c r="E11" s="34" t="s">
        <v>161</v>
      </c>
      <c r="F11" s="34" t="s">
        <v>162</v>
      </c>
      <c r="G11" s="34" t="s">
        <v>135</v>
      </c>
      <c r="H11" s="37" t="s">
        <v>163</v>
      </c>
      <c r="I11" s="34" t="s">
        <v>164</v>
      </c>
      <c r="J11" s="34" t="s">
        <v>153</v>
      </c>
      <c r="K11" s="34"/>
      <c r="L11" s="38" t="s">
        <v>165</v>
      </c>
    </row>
    <row r="12" customFormat="false" ht="39.75" hidden="false" customHeight="true" outlineLevel="0" collapsed="false">
      <c r="A12" s="34" t="n">
        <v>8</v>
      </c>
      <c r="B12" s="35"/>
      <c r="C12" s="36" t="s">
        <v>166</v>
      </c>
      <c r="D12" s="34" t="s">
        <v>140</v>
      </c>
      <c r="E12" s="34" t="s">
        <v>140</v>
      </c>
      <c r="F12" s="34" t="s">
        <v>134</v>
      </c>
      <c r="G12" s="34" t="s">
        <v>135</v>
      </c>
      <c r="H12" s="37" t="s">
        <v>167</v>
      </c>
      <c r="I12" s="34" t="s">
        <v>168</v>
      </c>
      <c r="J12" s="34" t="s">
        <v>153</v>
      </c>
      <c r="K12" s="34"/>
      <c r="L12" s="38" t="s">
        <v>169</v>
      </c>
    </row>
    <row r="13" customFormat="false" ht="39.75" hidden="false" customHeight="true" outlineLevel="0" collapsed="false">
      <c r="A13" s="30" t="n">
        <v>9</v>
      </c>
      <c r="B13" s="31" t="s">
        <v>67</v>
      </c>
      <c r="C13" s="32" t="s">
        <v>170</v>
      </c>
      <c r="D13" s="30" t="s">
        <v>123</v>
      </c>
      <c r="E13" s="30" t="s">
        <v>124</v>
      </c>
      <c r="F13" s="30" t="s">
        <v>125</v>
      </c>
      <c r="G13" s="30" t="s">
        <v>126</v>
      </c>
      <c r="H13" s="33" t="s">
        <v>171</v>
      </c>
      <c r="I13" s="30" t="s">
        <v>172</v>
      </c>
      <c r="J13" s="30" t="s">
        <v>173</v>
      </c>
      <c r="K13" s="30"/>
      <c r="L13" s="23" t="s">
        <v>174</v>
      </c>
    </row>
    <row r="14" customFormat="false" ht="39.75" hidden="false" customHeight="true" outlineLevel="0" collapsed="false">
      <c r="A14" s="34" t="n">
        <v>10</v>
      </c>
      <c r="B14" s="35"/>
      <c r="C14" s="36" t="s">
        <v>175</v>
      </c>
      <c r="D14" s="34" t="s">
        <v>123</v>
      </c>
      <c r="E14" s="34" t="s">
        <v>124</v>
      </c>
      <c r="F14" s="34" t="s">
        <v>162</v>
      </c>
      <c r="G14" s="34" t="s">
        <v>126</v>
      </c>
      <c r="H14" s="37" t="s">
        <v>176</v>
      </c>
      <c r="I14" s="34" t="s">
        <v>177</v>
      </c>
      <c r="J14" s="34" t="s">
        <v>173</v>
      </c>
      <c r="K14" s="34"/>
      <c r="L14" s="38" t="s">
        <v>178</v>
      </c>
    </row>
    <row r="15" customFormat="false" ht="39.75" hidden="false" customHeight="true" outlineLevel="0" collapsed="false">
      <c r="A15" s="34" t="n">
        <v>11</v>
      </c>
      <c r="B15" s="35"/>
      <c r="C15" s="36" t="s">
        <v>179</v>
      </c>
      <c r="D15" s="34" t="s">
        <v>123</v>
      </c>
      <c r="E15" s="34" t="s">
        <v>124</v>
      </c>
      <c r="F15" s="34" t="s">
        <v>125</v>
      </c>
      <c r="G15" s="34" t="s">
        <v>126</v>
      </c>
      <c r="H15" s="37" t="s">
        <v>180</v>
      </c>
      <c r="I15" s="34" t="s">
        <v>158</v>
      </c>
      <c r="J15" s="34" t="s">
        <v>173</v>
      </c>
      <c r="K15" s="34"/>
      <c r="L15" s="38" t="s">
        <v>181</v>
      </c>
    </row>
    <row r="16" customFormat="false" ht="39.75" hidden="false" customHeight="true" outlineLevel="0" collapsed="false">
      <c r="A16" s="34" t="n">
        <v>12</v>
      </c>
      <c r="B16" s="35"/>
      <c r="C16" s="36" t="s">
        <v>182</v>
      </c>
      <c r="D16" s="34" t="s">
        <v>132</v>
      </c>
      <c r="E16" s="34" t="s">
        <v>183</v>
      </c>
      <c r="F16" s="34" t="s">
        <v>162</v>
      </c>
      <c r="G16" s="34" t="s">
        <v>135</v>
      </c>
      <c r="H16" s="37" t="s">
        <v>184</v>
      </c>
      <c r="I16" s="34" t="s">
        <v>164</v>
      </c>
      <c r="J16" s="34" t="s">
        <v>173</v>
      </c>
      <c r="K16" s="34"/>
      <c r="L16" s="38" t="s">
        <v>185</v>
      </c>
    </row>
    <row r="17" customFormat="false" ht="39.75" hidden="false" customHeight="true" outlineLevel="0" collapsed="false">
      <c r="A17" s="30" t="n">
        <v>13</v>
      </c>
      <c r="B17" s="31" t="s">
        <v>67</v>
      </c>
      <c r="C17" s="32" t="s">
        <v>186</v>
      </c>
      <c r="D17" s="30" t="s">
        <v>132</v>
      </c>
      <c r="E17" s="30" t="s">
        <v>133</v>
      </c>
      <c r="F17" s="30" t="s">
        <v>125</v>
      </c>
      <c r="G17" s="30" t="s">
        <v>135</v>
      </c>
      <c r="H17" s="33" t="s">
        <v>187</v>
      </c>
      <c r="I17" s="30" t="s">
        <v>188</v>
      </c>
      <c r="J17" s="30" t="s">
        <v>189</v>
      </c>
      <c r="K17" s="30"/>
      <c r="L17" s="23" t="s">
        <v>190</v>
      </c>
    </row>
    <row r="18" customFormat="false" ht="39.75" hidden="false" customHeight="true" outlineLevel="0" collapsed="false">
      <c r="A18" s="34" t="n">
        <v>14</v>
      </c>
      <c r="B18" s="35"/>
      <c r="C18" s="36" t="s">
        <v>191</v>
      </c>
      <c r="D18" s="34" t="s">
        <v>132</v>
      </c>
      <c r="E18" s="34" t="s">
        <v>192</v>
      </c>
      <c r="F18" s="34" t="s">
        <v>125</v>
      </c>
      <c r="G18" s="34" t="s">
        <v>135</v>
      </c>
      <c r="H18" s="37" t="s">
        <v>193</v>
      </c>
      <c r="I18" s="34" t="s">
        <v>194</v>
      </c>
      <c r="J18" s="34" t="s">
        <v>189</v>
      </c>
      <c r="K18" s="34"/>
      <c r="L18" s="38" t="s">
        <v>195</v>
      </c>
    </row>
    <row r="19" customFormat="false" ht="39.75" hidden="false" customHeight="true" outlineLevel="0" collapsed="false">
      <c r="A19" s="34" t="n">
        <v>15</v>
      </c>
      <c r="B19" s="35"/>
      <c r="C19" s="36" t="s">
        <v>196</v>
      </c>
      <c r="D19" s="34" t="s">
        <v>140</v>
      </c>
      <c r="E19" s="34" t="s">
        <v>140</v>
      </c>
      <c r="F19" s="34" t="s">
        <v>125</v>
      </c>
      <c r="G19" s="34" t="s">
        <v>135</v>
      </c>
      <c r="H19" s="37" t="s">
        <v>197</v>
      </c>
      <c r="I19" s="34" t="s">
        <v>164</v>
      </c>
      <c r="J19" s="34" t="s">
        <v>189</v>
      </c>
      <c r="K19" s="34"/>
      <c r="L19" s="38" t="s">
        <v>198</v>
      </c>
    </row>
    <row r="20" customFormat="false" ht="39.75" hidden="false" customHeight="true" outlineLevel="0" collapsed="false">
      <c r="A20" s="34" t="n">
        <v>16</v>
      </c>
      <c r="B20" s="35"/>
      <c r="C20" s="36" t="s">
        <v>199</v>
      </c>
      <c r="D20" s="34" t="s">
        <v>132</v>
      </c>
      <c r="E20" s="34" t="s">
        <v>200</v>
      </c>
      <c r="F20" s="34" t="s">
        <v>134</v>
      </c>
      <c r="G20" s="34" t="s">
        <v>201</v>
      </c>
      <c r="H20" s="37" t="s">
        <v>202</v>
      </c>
      <c r="I20" s="34" t="s">
        <v>203</v>
      </c>
      <c r="J20" s="34" t="s">
        <v>189</v>
      </c>
      <c r="K20" s="34"/>
      <c r="L20" s="38" t="s">
        <v>204</v>
      </c>
    </row>
    <row r="21" customFormat="false" ht="39.75" hidden="false" customHeight="true" outlineLevel="0" collapsed="false">
      <c r="A21" s="30" t="n">
        <v>17</v>
      </c>
      <c r="B21" s="31" t="s">
        <v>67</v>
      </c>
      <c r="C21" s="32" t="s">
        <v>205</v>
      </c>
      <c r="D21" s="30" t="s">
        <v>123</v>
      </c>
      <c r="E21" s="30" t="s">
        <v>124</v>
      </c>
      <c r="F21" s="30" t="s">
        <v>162</v>
      </c>
      <c r="G21" s="30" t="s">
        <v>126</v>
      </c>
      <c r="H21" s="33" t="s">
        <v>206</v>
      </c>
      <c r="I21" s="30" t="s">
        <v>207</v>
      </c>
      <c r="J21" s="30" t="s">
        <v>208</v>
      </c>
      <c r="K21" s="30"/>
      <c r="L21" s="23" t="s">
        <v>209</v>
      </c>
    </row>
    <row r="22" customFormat="false" ht="39.75" hidden="false" customHeight="true" outlineLevel="0" collapsed="false">
      <c r="A22" s="34" t="n">
        <v>18</v>
      </c>
      <c r="B22" s="35"/>
      <c r="C22" s="36" t="s">
        <v>210</v>
      </c>
      <c r="D22" s="34" t="s">
        <v>211</v>
      </c>
      <c r="E22" s="34" t="s">
        <v>212</v>
      </c>
      <c r="F22" s="34" t="s">
        <v>162</v>
      </c>
      <c r="G22" s="34" t="s">
        <v>213</v>
      </c>
      <c r="H22" s="37" t="s">
        <v>214</v>
      </c>
      <c r="I22" s="34" t="s">
        <v>158</v>
      </c>
      <c r="J22" s="34" t="s">
        <v>208</v>
      </c>
      <c r="K22" s="34"/>
      <c r="L22" s="38" t="s">
        <v>215</v>
      </c>
    </row>
    <row r="23" customFormat="false" ht="39.75" hidden="false" customHeight="true" outlineLevel="0" collapsed="false">
      <c r="A23" s="34" t="n">
        <v>19</v>
      </c>
      <c r="B23" s="35"/>
      <c r="C23" s="36" t="s">
        <v>216</v>
      </c>
      <c r="D23" s="34" t="s">
        <v>217</v>
      </c>
      <c r="E23" s="34" t="s">
        <v>218</v>
      </c>
      <c r="F23" s="34" t="s">
        <v>125</v>
      </c>
      <c r="G23" s="34" t="s">
        <v>219</v>
      </c>
      <c r="H23" s="37" t="s">
        <v>220</v>
      </c>
      <c r="I23" s="34" t="s">
        <v>177</v>
      </c>
      <c r="J23" s="34" t="s">
        <v>208</v>
      </c>
      <c r="K23" s="34"/>
      <c r="L23" s="38" t="s">
        <v>221</v>
      </c>
    </row>
    <row r="24" customFormat="false" ht="39.75" hidden="false" customHeight="true" outlineLevel="0" collapsed="false">
      <c r="A24" s="34" t="n">
        <v>20</v>
      </c>
      <c r="B24" s="35"/>
      <c r="C24" s="36" t="s">
        <v>222</v>
      </c>
      <c r="D24" s="34" t="s">
        <v>223</v>
      </c>
      <c r="E24" s="34" t="s">
        <v>224</v>
      </c>
      <c r="F24" s="34" t="s">
        <v>125</v>
      </c>
      <c r="G24" s="34" t="s">
        <v>135</v>
      </c>
      <c r="H24" s="37" t="s">
        <v>225</v>
      </c>
      <c r="I24" s="34" t="s">
        <v>226</v>
      </c>
      <c r="J24" s="34" t="s">
        <v>208</v>
      </c>
      <c r="K24" s="34"/>
      <c r="L24" s="38" t="s">
        <v>227</v>
      </c>
    </row>
    <row r="25" customFormat="false" ht="39.75" hidden="false" customHeight="true" outlineLevel="0" collapsed="false">
      <c r="A25" s="34" t="n">
        <v>21</v>
      </c>
      <c r="B25" s="35"/>
      <c r="C25" s="36" t="s">
        <v>228</v>
      </c>
      <c r="D25" s="34" t="s">
        <v>229</v>
      </c>
      <c r="E25" s="34" t="s">
        <v>230</v>
      </c>
      <c r="F25" s="34" t="s">
        <v>78</v>
      </c>
      <c r="G25" s="34" t="s">
        <v>135</v>
      </c>
      <c r="H25" s="37" t="s">
        <v>231</v>
      </c>
      <c r="I25" s="34" t="s">
        <v>137</v>
      </c>
      <c r="J25" s="34" t="s">
        <v>173</v>
      </c>
      <c r="K25" s="34"/>
      <c r="L25" s="38" t="s">
        <v>232</v>
      </c>
    </row>
    <row r="26" customFormat="false" ht="39.75" hidden="false" customHeight="true" outlineLevel="0" collapsed="false">
      <c r="A26" s="34" t="n">
        <v>22</v>
      </c>
      <c r="B26" s="35"/>
      <c r="C26" s="36" t="s">
        <v>233</v>
      </c>
      <c r="D26" s="34" t="s">
        <v>234</v>
      </c>
      <c r="E26" s="34" t="s">
        <v>235</v>
      </c>
      <c r="F26" s="34" t="s">
        <v>125</v>
      </c>
      <c r="G26" s="34" t="s">
        <v>135</v>
      </c>
      <c r="H26" s="37" t="s">
        <v>236</v>
      </c>
      <c r="I26" s="34" t="s">
        <v>237</v>
      </c>
      <c r="J26" s="34" t="s">
        <v>238</v>
      </c>
      <c r="K26" s="34"/>
      <c r="L26" s="38" t="s">
        <v>239</v>
      </c>
    </row>
  </sheetData>
  <autoFilter ref="A4:L26"/>
  <mergeCells count="1">
    <mergeCell ref="A1:L2"/>
  </mergeCells>
  <conditionalFormatting sqref="D5:D26">
    <cfRule type="cellIs" priority="2" operator="equal" aboveAverage="0" equalAverage="0" bottom="0" percent="0" rank="0" text="" dxfId="1">
      <formula>"Video Course"</formula>
    </cfRule>
    <cfRule type="cellIs" priority="3" operator="equal" aboveAverage="0" equalAverage="0" bottom="0" percent="0" rank="0" text="" dxfId="21">
      <formula>"Docs"</formula>
    </cfRule>
    <cfRule type="cellIs" priority="4" operator="equal" aboveAverage="0" equalAverage="0" bottom="0" percent="0" rank="0" text="" dxfId="22">
      <formula>"YouTube"</formula>
    </cfRule>
    <cfRule type="cellIs" priority="5" operator="equal" aboveAverage="0" equalAverage="0" bottom="0" percent="0" rank="0" text="" dxfId="23">
      <formula>"Practice Tests"</formula>
    </cfRule>
    <cfRule type="cellIs" priority="6" operator="equal" aboveAverage="0" equalAverage="0" bottom="0" percent="0" rank="0" text="" dxfId="24">
      <formula>"Articles"</formula>
    </cfRule>
    <cfRule type="cellIs" priority="7" operator="equal" aboveAverage="0" equalAverage="0" bottom="0" percent="0" rank="0" text="" dxfId="25">
      <formula>"Course"</formula>
    </cfRule>
    <cfRule type="cellIs" priority="8" operator="equal" aboveAverage="0" equalAverage="0" bottom="0" percent="0" rank="0" text="" dxfId="26">
      <formula>"Study Guide"</formula>
    </cfRule>
    <cfRule type="cellIs" priority="9" operator="equal" aboveAverage="0" equalAverage="0" bottom="0" percent="0" rank="0" text="" dxfId="27">
      <formula>"Online Course"</formula>
    </cfRule>
    <cfRule type="cellIs" priority="10" operator="equal" aboveAverage="0" equalAverage="0" bottom="0" percent="0" rank="0" text="" dxfId="28">
      <formula>"Problems + Videos"</formula>
    </cfRule>
  </conditionalFormatting>
  <dataValidations count="1">
    <dataValidation allowBlank="true" errorStyle="stop" operator="between" showDropDown="false" showErrorMessage="false" showInputMessage="false" sqref="K5:K26" type="whole">
      <formula1>1</formula1>
      <formula2>5</formula2>
    </dataValidation>
  </dataValidations>
  <hyperlinks>
    <hyperlink ref="H5" r:id="rId1" display="https://www.udemy.com/course/spring-hibernate-tutorial/"/>
    <hyperlink ref="H6" r:id="rId2" display="https://docs.spring.io/spring-boot/docs/current/reference/html/"/>
    <hyperlink ref="H7" r:id="rId3" display="https://www.youtube.com/@amigoscode"/>
    <hyperlink ref="H8" r:id="rId4" display="https://www.baeldung.com/spring-boot"/>
    <hyperlink ref="H9" r:id="rId5" display="https://www.udemy.com/course/the-complete-guide-to-angular-2/"/>
    <hyperlink ref="H10" r:id="rId6" display="https://angular.dev/tutorials"/>
    <hyperlink ref="H11" r:id="rId7" display="https://www.typescriptlang.org/docs/handbook/intro.html"/>
    <hyperlink ref="H12" r:id="rId8" display="https://www.youtube.com/@Fireship"/>
    <hyperlink ref="H13" r:id="rId9" display="https://www.udemy.com/course/master-microservices-with-spring-docker-kubernetes/"/>
    <hyperlink ref="H14" r:id="rId10" display="https://www.udemy.com/course/docker-mastery/"/>
    <hyperlink ref="H15" r:id="rId11" display="https://www.udemy.com/course/junit-mockito-from-beginner-to-expert/"/>
    <hyperlink ref="H16" r:id="rId12" display="https://docs.github.com/en/actions"/>
    <hyperlink ref="H17" r:id="rId13" display="https://docs.spring.io/spring-ai/reference/"/>
    <hyperlink ref="H18" r:id="rId14" display="https://docs.langchain4j.dev/"/>
    <hyperlink ref="H19" r:id="rId15" display="https://www.youtube.com/@DanVega"/>
    <hyperlink ref="H20" r:id="rId16" display="https://docs.claude.com"/>
    <hyperlink ref="H21" r:id="rId17" display="https://www.udemy.com/course/aws-certified-cloud-practitioner-new/"/>
    <hyperlink ref="H22" r:id="rId18" display="https://portal.tutorialsdojo.com/"/>
    <hyperlink ref="H23" r:id="rId19" display="https://www.designgurus.io/course/grokking-the-system-design-interview"/>
    <hyperlink ref="H24" r:id="rId20" display="https://neetcode.io/practice"/>
    <hyperlink ref="H25" r:id="rId21" display="https://tanzu.vmware.com/training/certification/spring-professional-certification"/>
    <hyperlink ref="H26" r:id="rId22" display="https://fullstackopen.com/en/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3" min="3" style="0" width="18"/>
    <col collapsed="false" customWidth="true" hidden="false" outlineLevel="0" max="4" min="4" style="0" width="40"/>
    <col collapsed="false" customWidth="true" hidden="false" outlineLevel="0" max="5" min="5" style="0" width="14"/>
    <col collapsed="false" customWidth="true" hidden="false" outlineLevel="0" max="6" min="6" style="0" width="36"/>
    <col collapsed="false" customWidth="true" hidden="false" outlineLevel="0" max="7" min="7" style="0" width="10"/>
    <col collapsed="false" customWidth="true" hidden="false" outlineLevel="0" max="8" min="8" style="0" width="30"/>
  </cols>
  <sheetData>
    <row r="1" customFormat="false" ht="21.75" hidden="false" customHeight="true" outlineLevel="0" collapsed="false">
      <c r="A1" s="13" t="s">
        <v>240</v>
      </c>
      <c r="B1" s="13"/>
      <c r="C1" s="13"/>
      <c r="D1" s="13"/>
      <c r="E1" s="13"/>
      <c r="F1" s="13"/>
      <c r="G1" s="13"/>
      <c r="H1" s="13"/>
    </row>
    <row r="2" customFormat="false" ht="21.75" hidden="false" customHeight="true" outlineLevel="0" collapsed="false">
      <c r="A2" s="13"/>
      <c r="B2" s="13"/>
      <c r="C2" s="13"/>
      <c r="D2" s="13"/>
      <c r="E2" s="13"/>
      <c r="F2" s="13"/>
      <c r="G2" s="13"/>
      <c r="H2" s="13"/>
    </row>
    <row r="4" customFormat="false" ht="19.7" hidden="false" customHeight="false" outlineLevel="0" collapsed="false">
      <c r="A4" s="39" t="s">
        <v>241</v>
      </c>
      <c r="B4" s="39"/>
      <c r="C4" s="40" t="n">
        <f aca="false">SUM(E9:E60)</f>
        <v>0</v>
      </c>
      <c r="D4" s="40"/>
      <c r="E4" s="39" t="s">
        <v>242</v>
      </c>
      <c r="F4" s="39"/>
      <c r="G4" s="40" t="n">
        <f aca="false">COUNTA(B9:B60)</f>
        <v>0</v>
      </c>
      <c r="H4" s="40"/>
    </row>
    <row r="5" customFormat="false" ht="19.7" hidden="false" customHeight="false" outlineLevel="0" collapsed="false">
      <c r="A5" s="39" t="s">
        <v>243</v>
      </c>
      <c r="B5" s="39"/>
      <c r="C5" s="41" t="n">
        <f aca="false">IFERROR(ROUND(SUM(E9:E60)/COUNTA(B9:B60),1),0)</f>
        <v>0</v>
      </c>
      <c r="D5" s="41"/>
      <c r="E5" s="39" t="s">
        <v>244</v>
      </c>
      <c r="F5" s="39"/>
      <c r="G5" s="42" t="str">
        <f aca="false">IFERROR(TEXT(SUM(E9:E60)/65,"0%"),"0%")</f>
        <v>0%</v>
      </c>
      <c r="H5" s="42"/>
    </row>
    <row r="7" customFormat="false" ht="27.75" hidden="false" customHeight="true" outlineLevel="0" collapsed="false">
      <c r="A7" s="14" t="s">
        <v>245</v>
      </c>
      <c r="B7" s="14" t="s">
        <v>246</v>
      </c>
      <c r="C7" s="14" t="s">
        <v>30</v>
      </c>
      <c r="D7" s="14" t="s">
        <v>247</v>
      </c>
      <c r="E7" s="14" t="s">
        <v>248</v>
      </c>
      <c r="F7" s="14" t="s">
        <v>121</v>
      </c>
      <c r="G7" s="14" t="s">
        <v>249</v>
      </c>
      <c r="H7" s="14" t="s">
        <v>250</v>
      </c>
    </row>
    <row r="9" customFormat="false" ht="27.75" hidden="false" customHeight="true" outlineLevel="0" collapsed="false">
      <c r="A9" s="43" t="n">
        <v>1</v>
      </c>
      <c r="B9" s="16"/>
      <c r="C9" s="16"/>
      <c r="D9" s="16"/>
      <c r="E9" s="16"/>
      <c r="F9" s="16"/>
      <c r="G9" s="16"/>
      <c r="H9" s="16"/>
    </row>
    <row r="10" customFormat="false" ht="27.75" hidden="false" customHeight="true" outlineLevel="0" collapsed="false">
      <c r="A10" s="44" t="n">
        <v>2</v>
      </c>
      <c r="B10" s="18"/>
      <c r="C10" s="18"/>
      <c r="D10" s="18"/>
      <c r="E10" s="18"/>
      <c r="F10" s="18"/>
      <c r="G10" s="18"/>
      <c r="H10" s="18"/>
    </row>
    <row r="11" customFormat="false" ht="27.75" hidden="false" customHeight="true" outlineLevel="0" collapsed="false">
      <c r="A11" s="43" t="n">
        <v>3</v>
      </c>
      <c r="B11" s="16"/>
      <c r="C11" s="16"/>
      <c r="D11" s="16"/>
      <c r="E11" s="16"/>
      <c r="F11" s="16"/>
      <c r="G11" s="16"/>
      <c r="H11" s="16"/>
    </row>
    <row r="12" customFormat="false" ht="27.75" hidden="false" customHeight="true" outlineLevel="0" collapsed="false">
      <c r="A12" s="44" t="n">
        <v>4</v>
      </c>
      <c r="B12" s="18"/>
      <c r="C12" s="18"/>
      <c r="D12" s="18"/>
      <c r="E12" s="18"/>
      <c r="F12" s="18"/>
      <c r="G12" s="18"/>
      <c r="H12" s="18"/>
    </row>
    <row r="13" customFormat="false" ht="27.75" hidden="false" customHeight="true" outlineLevel="0" collapsed="false">
      <c r="A13" s="43" t="n">
        <v>5</v>
      </c>
      <c r="B13" s="16"/>
      <c r="C13" s="16"/>
      <c r="D13" s="16"/>
      <c r="E13" s="16"/>
      <c r="F13" s="16"/>
      <c r="G13" s="16"/>
      <c r="H13" s="16"/>
    </row>
    <row r="14" customFormat="false" ht="27.75" hidden="false" customHeight="true" outlineLevel="0" collapsed="false">
      <c r="A14" s="44" t="n">
        <v>6</v>
      </c>
      <c r="B14" s="18"/>
      <c r="C14" s="18"/>
      <c r="D14" s="18"/>
      <c r="E14" s="18"/>
      <c r="F14" s="18"/>
      <c r="G14" s="18"/>
      <c r="H14" s="18"/>
    </row>
    <row r="15" customFormat="false" ht="27.75" hidden="false" customHeight="true" outlineLevel="0" collapsed="false">
      <c r="A15" s="43" t="n">
        <v>7</v>
      </c>
      <c r="B15" s="16"/>
      <c r="C15" s="16"/>
      <c r="D15" s="16"/>
      <c r="E15" s="16"/>
      <c r="F15" s="16"/>
      <c r="G15" s="16"/>
      <c r="H15" s="16"/>
    </row>
    <row r="16" customFormat="false" ht="27.75" hidden="false" customHeight="true" outlineLevel="0" collapsed="false">
      <c r="A16" s="44" t="n">
        <v>8</v>
      </c>
      <c r="B16" s="18"/>
      <c r="C16" s="18"/>
      <c r="D16" s="18"/>
      <c r="E16" s="18"/>
      <c r="F16" s="18"/>
      <c r="G16" s="18"/>
      <c r="H16" s="18"/>
    </row>
    <row r="17" customFormat="false" ht="27.75" hidden="false" customHeight="true" outlineLevel="0" collapsed="false">
      <c r="A17" s="43" t="n">
        <v>9</v>
      </c>
      <c r="B17" s="16"/>
      <c r="C17" s="16"/>
      <c r="D17" s="16"/>
      <c r="E17" s="16"/>
      <c r="F17" s="16"/>
      <c r="G17" s="16"/>
      <c r="H17" s="16"/>
    </row>
    <row r="18" customFormat="false" ht="27.75" hidden="false" customHeight="true" outlineLevel="0" collapsed="false">
      <c r="A18" s="44" t="n">
        <v>10</v>
      </c>
      <c r="B18" s="18"/>
      <c r="C18" s="18"/>
      <c r="D18" s="18"/>
      <c r="E18" s="18"/>
      <c r="F18" s="18"/>
      <c r="G18" s="18"/>
      <c r="H18" s="18"/>
    </row>
    <row r="19" customFormat="false" ht="27.75" hidden="false" customHeight="true" outlineLevel="0" collapsed="false">
      <c r="A19" s="43" t="n">
        <v>11</v>
      </c>
      <c r="B19" s="16"/>
      <c r="C19" s="16"/>
      <c r="D19" s="16"/>
      <c r="E19" s="16"/>
      <c r="F19" s="16"/>
      <c r="G19" s="16"/>
      <c r="H19" s="16"/>
    </row>
    <row r="20" customFormat="false" ht="27.75" hidden="false" customHeight="true" outlineLevel="0" collapsed="false">
      <c r="A20" s="44" t="n">
        <v>12</v>
      </c>
      <c r="B20" s="18"/>
      <c r="C20" s="18"/>
      <c r="D20" s="18"/>
      <c r="E20" s="18"/>
      <c r="F20" s="18"/>
      <c r="G20" s="18"/>
      <c r="H20" s="18"/>
    </row>
    <row r="21" customFormat="false" ht="27.75" hidden="false" customHeight="true" outlineLevel="0" collapsed="false">
      <c r="A21" s="43" t="n">
        <v>13</v>
      </c>
      <c r="B21" s="16"/>
      <c r="C21" s="16"/>
      <c r="D21" s="16"/>
      <c r="E21" s="16"/>
      <c r="F21" s="16"/>
      <c r="G21" s="16"/>
      <c r="H21" s="16"/>
    </row>
    <row r="22" customFormat="false" ht="27.75" hidden="false" customHeight="true" outlineLevel="0" collapsed="false">
      <c r="A22" s="44" t="n">
        <v>14</v>
      </c>
      <c r="B22" s="18"/>
      <c r="C22" s="18"/>
      <c r="D22" s="18"/>
      <c r="E22" s="18"/>
      <c r="F22" s="18"/>
      <c r="G22" s="18"/>
      <c r="H22" s="18"/>
    </row>
    <row r="23" customFormat="false" ht="27.75" hidden="false" customHeight="true" outlineLevel="0" collapsed="false">
      <c r="A23" s="43" t="n">
        <v>15</v>
      </c>
      <c r="B23" s="16"/>
      <c r="C23" s="16"/>
      <c r="D23" s="16"/>
      <c r="E23" s="16"/>
      <c r="F23" s="16"/>
      <c r="G23" s="16"/>
      <c r="H23" s="16"/>
    </row>
    <row r="24" customFormat="false" ht="27.75" hidden="false" customHeight="true" outlineLevel="0" collapsed="false">
      <c r="A24" s="44" t="n">
        <v>16</v>
      </c>
      <c r="B24" s="18"/>
      <c r="C24" s="18"/>
      <c r="D24" s="18"/>
      <c r="E24" s="18"/>
      <c r="F24" s="18"/>
      <c r="G24" s="18"/>
      <c r="H24" s="18"/>
    </row>
    <row r="25" customFormat="false" ht="27.75" hidden="false" customHeight="true" outlineLevel="0" collapsed="false">
      <c r="A25" s="43" t="n">
        <v>17</v>
      </c>
      <c r="B25" s="16"/>
      <c r="C25" s="16"/>
      <c r="D25" s="16"/>
      <c r="E25" s="16"/>
      <c r="F25" s="16"/>
      <c r="G25" s="16"/>
      <c r="H25" s="16"/>
    </row>
    <row r="26" customFormat="false" ht="27.75" hidden="false" customHeight="true" outlineLevel="0" collapsed="false">
      <c r="A26" s="44" t="n">
        <v>18</v>
      </c>
      <c r="B26" s="18"/>
      <c r="C26" s="18"/>
      <c r="D26" s="18"/>
      <c r="E26" s="18"/>
      <c r="F26" s="18"/>
      <c r="G26" s="18"/>
      <c r="H26" s="18"/>
    </row>
    <row r="27" customFormat="false" ht="27.75" hidden="false" customHeight="true" outlineLevel="0" collapsed="false">
      <c r="A27" s="43" t="n">
        <v>19</v>
      </c>
      <c r="B27" s="16"/>
      <c r="C27" s="16"/>
      <c r="D27" s="16"/>
      <c r="E27" s="16"/>
      <c r="F27" s="16"/>
      <c r="G27" s="16"/>
      <c r="H27" s="16"/>
    </row>
    <row r="28" customFormat="false" ht="27.75" hidden="false" customHeight="true" outlineLevel="0" collapsed="false">
      <c r="A28" s="44" t="n">
        <v>20</v>
      </c>
      <c r="B28" s="18"/>
      <c r="C28" s="18"/>
      <c r="D28" s="18"/>
      <c r="E28" s="18"/>
      <c r="F28" s="18"/>
      <c r="G28" s="18"/>
      <c r="H28" s="18"/>
    </row>
    <row r="29" customFormat="false" ht="27.75" hidden="false" customHeight="true" outlineLevel="0" collapsed="false">
      <c r="A29" s="43" t="n">
        <v>21</v>
      </c>
      <c r="B29" s="16"/>
      <c r="C29" s="16"/>
      <c r="D29" s="16"/>
      <c r="E29" s="16"/>
      <c r="F29" s="16"/>
      <c r="G29" s="16"/>
      <c r="H29" s="16"/>
    </row>
    <row r="30" customFormat="false" ht="27.75" hidden="false" customHeight="true" outlineLevel="0" collapsed="false">
      <c r="A30" s="44" t="n">
        <v>22</v>
      </c>
      <c r="B30" s="18"/>
      <c r="C30" s="18"/>
      <c r="D30" s="18"/>
      <c r="E30" s="18"/>
      <c r="F30" s="18"/>
      <c r="G30" s="18"/>
      <c r="H30" s="18"/>
    </row>
    <row r="31" customFormat="false" ht="27.75" hidden="false" customHeight="true" outlineLevel="0" collapsed="false">
      <c r="A31" s="43" t="n">
        <v>23</v>
      </c>
      <c r="B31" s="16"/>
      <c r="C31" s="16"/>
      <c r="D31" s="16"/>
      <c r="E31" s="16"/>
      <c r="F31" s="16"/>
      <c r="G31" s="16"/>
      <c r="H31" s="16"/>
    </row>
    <row r="32" customFormat="false" ht="27.75" hidden="false" customHeight="true" outlineLevel="0" collapsed="false">
      <c r="A32" s="44" t="n">
        <v>24</v>
      </c>
      <c r="B32" s="18"/>
      <c r="C32" s="18"/>
      <c r="D32" s="18"/>
      <c r="E32" s="18"/>
      <c r="F32" s="18"/>
      <c r="G32" s="18"/>
      <c r="H32" s="18"/>
    </row>
    <row r="33" customFormat="false" ht="27.75" hidden="false" customHeight="true" outlineLevel="0" collapsed="false">
      <c r="A33" s="43" t="n">
        <v>25</v>
      </c>
      <c r="B33" s="16"/>
      <c r="C33" s="16"/>
      <c r="D33" s="16"/>
      <c r="E33" s="16"/>
      <c r="F33" s="16"/>
      <c r="G33" s="16"/>
      <c r="H33" s="16"/>
    </row>
    <row r="34" customFormat="false" ht="27.75" hidden="false" customHeight="true" outlineLevel="0" collapsed="false">
      <c r="A34" s="44" t="n">
        <v>26</v>
      </c>
      <c r="B34" s="18"/>
      <c r="C34" s="18"/>
      <c r="D34" s="18"/>
      <c r="E34" s="18"/>
      <c r="F34" s="18"/>
      <c r="G34" s="18"/>
      <c r="H34" s="18"/>
    </row>
    <row r="35" customFormat="false" ht="27.75" hidden="false" customHeight="true" outlineLevel="0" collapsed="false">
      <c r="A35" s="43" t="n">
        <v>27</v>
      </c>
      <c r="B35" s="16"/>
      <c r="C35" s="16"/>
      <c r="D35" s="16"/>
      <c r="E35" s="16"/>
      <c r="F35" s="16"/>
      <c r="G35" s="16"/>
      <c r="H35" s="16"/>
    </row>
    <row r="36" customFormat="false" ht="27.75" hidden="false" customHeight="true" outlineLevel="0" collapsed="false">
      <c r="A36" s="44" t="n">
        <v>28</v>
      </c>
      <c r="B36" s="18"/>
      <c r="C36" s="18"/>
      <c r="D36" s="18"/>
      <c r="E36" s="18"/>
      <c r="F36" s="18"/>
      <c r="G36" s="18"/>
      <c r="H36" s="18"/>
    </row>
  </sheetData>
  <mergeCells count="9">
    <mergeCell ref="A1:H2"/>
    <mergeCell ref="A4:B4"/>
    <mergeCell ref="C4:D4"/>
    <mergeCell ref="E4:F4"/>
    <mergeCell ref="G4:H4"/>
    <mergeCell ref="A5:B5"/>
    <mergeCell ref="C5:D5"/>
    <mergeCell ref="E5:F5"/>
    <mergeCell ref="G5:H5"/>
  </mergeCells>
  <dataValidations count="2">
    <dataValidation allowBlank="true" errorStyle="stop" operator="between" showDropDown="false" showErrorMessage="false" showInputMessage="false" sqref="G9:G36" type="list">
      <formula1>"😊,😐,😟,🔥,😴"</formula1>
      <formula2>0</formula2>
    </dataValidation>
    <dataValidation allowBlank="true" errorStyle="stop" operator="between" showDropDown="false" showErrorMessage="false" showInputMessage="false" sqref="C9:C36" type="list">
      <formula1>"Phase 1,Phase 2,Phase 3,Phase 4,Phase 5,Break / Off-week"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2"/>
    <col collapsed="false" customWidth="true" hidden="false" outlineLevel="0" max="6" min="3" style="0" width="20"/>
  </cols>
  <sheetData>
    <row r="2" customFormat="false" ht="21.75" hidden="false" customHeight="true" outlineLevel="0" collapsed="false">
      <c r="B2" s="13" t="s">
        <v>251</v>
      </c>
      <c r="C2" s="13"/>
      <c r="D2" s="13"/>
      <c r="E2" s="13"/>
      <c r="F2" s="13"/>
    </row>
    <row r="3" customFormat="false" ht="21.75" hidden="false" customHeight="true" outlineLevel="0" collapsed="false">
      <c r="B3" s="13"/>
      <c r="C3" s="13"/>
      <c r="D3" s="13"/>
      <c r="E3" s="13"/>
      <c r="F3" s="13"/>
    </row>
    <row r="5" customFormat="false" ht="24" hidden="false" customHeight="true" outlineLevel="0" collapsed="false">
      <c r="B5" s="45" t="s">
        <v>252</v>
      </c>
      <c r="C5" s="45"/>
      <c r="D5" s="45"/>
      <c r="E5" s="45"/>
      <c r="F5" s="45"/>
    </row>
    <row r="6" customFormat="false" ht="21.75" hidden="false" customHeight="true" outlineLevel="0" collapsed="false">
      <c r="B6" s="46" t="s">
        <v>253</v>
      </c>
      <c r="C6" s="46"/>
      <c r="D6" s="46"/>
      <c r="E6" s="46"/>
      <c r="F6" s="46"/>
    </row>
    <row r="7" customFormat="false" ht="21.75" hidden="false" customHeight="true" outlineLevel="0" collapsed="false">
      <c r="B7" s="46"/>
      <c r="C7" s="46"/>
      <c r="D7" s="46"/>
      <c r="E7" s="46"/>
      <c r="F7" s="46"/>
    </row>
    <row r="8" customFormat="false" ht="21.75" hidden="false" customHeight="true" outlineLevel="0" collapsed="false">
      <c r="B8" s="46"/>
      <c r="C8" s="46"/>
      <c r="D8" s="46"/>
      <c r="E8" s="46"/>
      <c r="F8" s="46"/>
    </row>
    <row r="9" customFormat="false" ht="21.75" hidden="false" customHeight="true" outlineLevel="0" collapsed="false">
      <c r="B9" s="46"/>
      <c r="C9" s="46"/>
      <c r="D9" s="46"/>
      <c r="E9" s="46"/>
      <c r="F9" s="46"/>
    </row>
    <row r="11" customFormat="false" ht="24" hidden="false" customHeight="true" outlineLevel="0" collapsed="false">
      <c r="B11" s="26" t="s">
        <v>254</v>
      </c>
      <c r="C11" s="26"/>
      <c r="D11" s="26"/>
      <c r="E11" s="26"/>
      <c r="F11" s="26"/>
    </row>
    <row r="12" customFormat="false" ht="27.75" hidden="false" customHeight="true" outlineLevel="0" collapsed="false">
      <c r="B12" s="3" t="s">
        <v>255</v>
      </c>
      <c r="C12" s="47"/>
      <c r="D12" s="47"/>
      <c r="E12" s="47"/>
      <c r="F12" s="47"/>
    </row>
    <row r="13" customFormat="false" ht="27.75" hidden="false" customHeight="true" outlineLevel="0" collapsed="false">
      <c r="B13" s="3" t="s">
        <v>256</v>
      </c>
      <c r="C13" s="47"/>
      <c r="D13" s="47"/>
      <c r="E13" s="47"/>
      <c r="F13" s="47"/>
    </row>
    <row r="14" customFormat="false" ht="27.75" hidden="false" customHeight="true" outlineLevel="0" collapsed="false">
      <c r="B14" s="3" t="s">
        <v>257</v>
      </c>
      <c r="C14" s="47"/>
      <c r="D14" s="47"/>
      <c r="E14" s="47"/>
      <c r="F14" s="47"/>
    </row>
    <row r="16" customFormat="false" ht="24" hidden="false" customHeight="true" outlineLevel="0" collapsed="false">
      <c r="B16" s="8" t="s">
        <v>258</v>
      </c>
      <c r="C16" s="8"/>
      <c r="D16" s="8"/>
      <c r="E16" s="8"/>
      <c r="F16" s="8"/>
    </row>
    <row r="17" customFormat="false" ht="27.75" hidden="false" customHeight="true" outlineLevel="0" collapsed="false">
      <c r="B17" s="3" t="s">
        <v>255</v>
      </c>
      <c r="C17" s="47"/>
      <c r="D17" s="47"/>
      <c r="E17" s="47"/>
      <c r="F17" s="47"/>
    </row>
    <row r="18" customFormat="false" ht="27.75" hidden="false" customHeight="true" outlineLevel="0" collapsed="false">
      <c r="B18" s="3" t="s">
        <v>256</v>
      </c>
      <c r="C18" s="47"/>
      <c r="D18" s="47"/>
      <c r="E18" s="47"/>
      <c r="F18" s="47"/>
    </row>
    <row r="19" customFormat="false" ht="27.75" hidden="false" customHeight="true" outlineLevel="0" collapsed="false">
      <c r="B19" s="3" t="s">
        <v>257</v>
      </c>
      <c r="C19" s="47"/>
      <c r="D19" s="47"/>
      <c r="E19" s="47"/>
      <c r="F19" s="47"/>
    </row>
    <row r="21" customFormat="false" ht="24" hidden="false" customHeight="true" outlineLevel="0" collapsed="false">
      <c r="B21" s="48" t="s">
        <v>259</v>
      </c>
      <c r="C21" s="48"/>
      <c r="D21" s="48"/>
      <c r="E21" s="48"/>
      <c r="F21" s="48"/>
    </row>
    <row r="22" customFormat="false" ht="31.5" hidden="false" customHeight="true" outlineLevel="0" collapsed="false">
      <c r="B22" s="3" t="s">
        <v>260</v>
      </c>
      <c r="C22" s="49" t="s">
        <v>261</v>
      </c>
      <c r="D22" s="49"/>
      <c r="E22" s="49"/>
      <c r="F22" s="49"/>
    </row>
    <row r="23" customFormat="false" ht="31.5" hidden="false" customHeight="true" outlineLevel="0" collapsed="false">
      <c r="B23" s="3" t="s">
        <v>262</v>
      </c>
      <c r="C23" s="49" t="s">
        <v>263</v>
      </c>
      <c r="D23" s="49"/>
      <c r="E23" s="49"/>
      <c r="F23" s="49"/>
    </row>
    <row r="24" customFormat="false" ht="31.5" hidden="false" customHeight="true" outlineLevel="0" collapsed="false">
      <c r="B24" s="3" t="s">
        <v>264</v>
      </c>
      <c r="C24" s="49" t="s">
        <v>265</v>
      </c>
      <c r="D24" s="49"/>
      <c r="E24" s="49"/>
      <c r="F24" s="49"/>
    </row>
    <row r="25" customFormat="false" ht="31.5" hidden="false" customHeight="true" outlineLevel="0" collapsed="false">
      <c r="B25" s="3" t="s">
        <v>266</v>
      </c>
      <c r="C25" s="49" t="s">
        <v>267</v>
      </c>
      <c r="D25" s="49"/>
      <c r="E25" s="49"/>
      <c r="F25" s="49"/>
    </row>
    <row r="26" customFormat="false" ht="31.5" hidden="false" customHeight="true" outlineLevel="0" collapsed="false">
      <c r="B26" s="3" t="s">
        <v>268</v>
      </c>
      <c r="C26" s="49" t="s">
        <v>269</v>
      </c>
      <c r="D26" s="49"/>
      <c r="E26" s="49"/>
      <c r="F26" s="49"/>
    </row>
  </sheetData>
  <mergeCells count="17">
    <mergeCell ref="B2:F3"/>
    <mergeCell ref="B5:F5"/>
    <mergeCell ref="B6:F9"/>
    <mergeCell ref="B11:F11"/>
    <mergeCell ref="C12:F12"/>
    <mergeCell ref="C13:F13"/>
    <mergeCell ref="C14:F14"/>
    <mergeCell ref="B16:F16"/>
    <mergeCell ref="C17:F17"/>
    <mergeCell ref="C18:F18"/>
    <mergeCell ref="C19:F19"/>
    <mergeCell ref="B21:F21"/>
    <mergeCell ref="C22:F22"/>
    <mergeCell ref="C23:F23"/>
    <mergeCell ref="C24:F24"/>
    <mergeCell ref="C25:F25"/>
    <mergeCell ref="C26:F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2026-04-22T15:41:48Z</dcterms:created>
  <dc:creator>openpyxl</dc:creator>
  <dc:description/>
  <dc:language>en-US</dc:language>
  <cp:lastModifiedBy/>
  <dcterms:modified xsi:type="dcterms:W3CDTF">2026-04-22T15:41:49Z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